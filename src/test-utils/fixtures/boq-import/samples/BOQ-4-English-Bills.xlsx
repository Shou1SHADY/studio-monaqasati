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llection" sheetId="1" r:id="rId1"/>
    <sheet name="Bill 1 - Preliminaries" sheetId="2" r:id="rId2"/>
    <sheet name="Bill 2 - Substructure" sheetId="3" r:id="rId3"/>
    <sheet name="Bill 3 - Superstructure" sheetId="4" r:id="rId4"/>
    <sheet name="Bill 4 - Finishes" sheetId="5" r:id="rId5"/>
  </sheets>
  <calcPr calcId="191029" fullCalcOnLoad="1"/>
</workbook>
</file>

<file path=xl/sharedStrings.xml><?xml version="1.0" encoding="utf-8"?>
<sst xmlns="http://schemas.openxmlformats.org/spreadsheetml/2006/main" count="180" uniqueCount="99">
  <si>
    <t xml:space="preserve">PROPOSED WAREHOUSE AND OFFICE BUILDING — 2ND INDUSTRIAL CITY, DAMMAM</t>
  </si>
  <si>
    <t xml:space="preserve">COLLECTION</t>
  </si>
  <si>
    <t xml:space="preserve">Bill No.</t>
  </si>
  <si>
    <t xml:space="preserve">Description</t>
  </si>
  <si>
    <t xml:space="preserve">Amount (SAR)</t>
  </si>
  <si>
    <t xml:space="preserve">Preliminaries And General Items</t>
  </si>
  <si>
    <t xml:space="preserve">Substructure</t>
  </si>
  <si>
    <t xml:space="preserve">Superstructure</t>
  </si>
  <si>
    <t xml:space="preserve">Finishes</t>
  </si>
  <si>
    <t xml:space="preserve">Total of Bills</t>
  </si>
  <si>
    <t xml:space="preserve">VAT 15%</t>
  </si>
  <si>
    <t xml:space="preserve">Tender Total (carried to Form of Tender)</t>
  </si>
  <si>
    <t xml:space="preserve">BILL No. 1 — PRELIMINARIES AND GENERAL ITEMS</t>
  </si>
  <si>
    <t xml:space="preserve">Item</t>
  </si>
  <si>
    <t xml:space="preserve">Qty</t>
  </si>
  <si>
    <t xml:space="preserve">Unit</t>
  </si>
  <si>
    <t xml:space="preserve">Rate (SAR)</t>
  </si>
  <si>
    <t xml:space="preserve">GENERAL</t>
  </si>
  <si>
    <t xml:space="preserve">A</t>
  </si>
  <si>
    <t xml:space="preserve">Mobilisation and demobilisation of plant and equipment</t>
  </si>
  <si>
    <t xml:space="preserve">B</t>
  </si>
  <si>
    <t xml:space="preserve">Site establishment, temporary offices and welfare facilities</t>
  </si>
  <si>
    <t xml:space="preserve">LS</t>
  </si>
  <si>
    <t xml:space="preserve">C</t>
  </si>
  <si>
    <t xml:space="preserve">Contractor's all risks insurance for the full contract period</t>
  </si>
  <si>
    <t xml:space="preserve">D</t>
  </si>
  <si>
    <t xml:space="preserve">Temporary water and electricity supply for the works</t>
  </si>
  <si>
    <t xml:space="preserve">month</t>
  </si>
  <si>
    <t xml:space="preserve">E</t>
  </si>
  <si>
    <t xml:space="preserve">Provisional sum for statutory fees and permits</t>
  </si>
  <si>
    <t xml:space="preserve">Prov Sum</t>
  </si>
  <si>
    <t xml:space="preserve">Carried to Collection</t>
  </si>
  <si>
    <t xml:space="preserve">BILL No. 2 — SUBSTRUCTURE</t>
  </si>
  <si>
    <t xml:space="preserve">EXCAVATION AND EARTHWORK</t>
  </si>
  <si>
    <t xml:space="preserve">Excavate to reduce levels, not exceeding 1.50 m deep</t>
  </si>
  <si>
    <t xml:space="preserve">m3</t>
  </si>
  <si>
    <t xml:space="preserve">Excavate trenches for ground beams, not exceeding 1.50 m deep</t>
  </si>
  <si>
    <t xml:space="preserve">Imported selected granular fill material, deposited and compacted in 200 mm layers</t>
  </si>
  <si>
    <t xml:space="preserve">Anti-termite treatment to underside of ground slab</t>
  </si>
  <si>
    <t xml:space="preserve">m2</t>
  </si>
  <si>
    <t xml:space="preserve">IN-SITU CONCRETE</t>
  </si>
  <si>
    <t xml:space="preserve">Plain concrete grade C15 blinding, 50 mm thick, under foundations</t>
  </si>
  <si>
    <t xml:space="preserve">Reinforced in-situ concrete grade C35 with sulphate resisting cement in:</t>
  </si>
  <si>
    <t xml:space="preserve">F</t>
  </si>
  <si>
    <t xml:space="preserve">Isolated pad footings</t>
  </si>
  <si>
    <t xml:space="preserve">G</t>
  </si>
  <si>
    <t xml:space="preserve">Ground beams</t>
  </si>
  <si>
    <t xml:space="preserve">H</t>
  </si>
  <si>
    <t xml:space="preserve">Column necks</t>
  </si>
  <si>
    <t xml:space="preserve">REINFORCEMENT</t>
  </si>
  <si>
    <t xml:space="preserve">High yield deformed bars to ASTM A615 Grade 60, cut, bent and fixed:</t>
  </si>
  <si>
    <t xml:space="preserve">J</t>
  </si>
  <si>
    <t xml:space="preserve">12 mm diameter</t>
  </si>
  <si>
    <t xml:space="preserve">kg</t>
  </si>
  <si>
    <t xml:space="preserve">K</t>
  </si>
  <si>
    <t xml:space="preserve">16 mm diameter</t>
  </si>
  <si>
    <t xml:space="preserve">L</t>
  </si>
  <si>
    <t xml:space="preserve">20 mm diameter</t>
  </si>
  <si>
    <t xml:space="preserve">FORMWORK</t>
  </si>
  <si>
    <t xml:space="preserve">M</t>
  </si>
  <si>
    <t xml:space="preserve">Sides of foundations and ground beams</t>
  </si>
  <si>
    <t xml:space="preserve">WATERPROOFING</t>
  </si>
  <si>
    <t xml:space="preserve">N</t>
  </si>
  <si>
    <t xml:space="preserve">Two coats of bitumen emulsion to concrete surfaces in contact with earth</t>
  </si>
  <si>
    <t xml:space="preserve">P</t>
  </si>
  <si>
    <t xml:space="preserve">1000 gauge polythene sheet under ground slab</t>
  </si>
  <si>
    <t xml:space="preserve">BILL No. 3 — SUPERSTRUCTURE</t>
  </si>
  <si>
    <t xml:space="preserve">Reinforced in-situ concrete grade C35 in:</t>
  </si>
  <si>
    <t xml:space="preserve">Columns</t>
  </si>
  <si>
    <t xml:space="preserve">Beams</t>
  </si>
  <si>
    <t xml:space="preserve">Suspended slabs, 200 mm thick</t>
  </si>
  <si>
    <t xml:space="preserve">BLOCKWORK</t>
  </si>
  <si>
    <t xml:space="preserve">Hollow concrete blockwork in cement and sand mortar (1:4):</t>
  </si>
  <si>
    <t xml:space="preserve">200 mm thick external walls</t>
  </si>
  <si>
    <t xml:space="preserve">150 mm thick internal partitions</t>
  </si>
  <si>
    <t xml:space="preserve">100 mm thick solid blockwork to shafts</t>
  </si>
  <si>
    <t xml:space="preserve">STRUCTURAL STEELWORK</t>
  </si>
  <si>
    <t xml:space="preserve">Universal beams 305 x 165 x 40 kg/m, fabricated and erected</t>
  </si>
  <si>
    <t xml:space="preserve">tonne</t>
  </si>
  <si>
    <t xml:space="preserve">BILL No. 4 — FINISHES</t>
  </si>
  <si>
    <t xml:space="preserve">FLOOR FINISHES</t>
  </si>
  <si>
    <t xml:space="preserve">600 x 600 mm porcelain floor tiles, 10 mm thick, bedded in adhesive</t>
  </si>
  <si>
    <t xml:space="preserve">300 x 300 mm anti-slip ceramic floor tiles to toilets</t>
  </si>
  <si>
    <t xml:space="preserve">Epoxy floor coating to warehouse, 3 mm thick</t>
  </si>
  <si>
    <t xml:space="preserve">WALL FINISHES</t>
  </si>
  <si>
    <t xml:space="preserve">Cement and sand plaster (1:4), 20 mm thick, to internal walls</t>
  </si>
  <si>
    <t xml:space="preserve">One coat primer and two coats emulsion paint to plastered walls</t>
  </si>
  <si>
    <t xml:space="preserve">300 x 600 mm glazed ceramic wall tiles to toilets</t>
  </si>
  <si>
    <t xml:space="preserve">Carried forward</t>
  </si>
  <si>
    <t xml:space="preserve">Brought forward</t>
  </si>
  <si>
    <t xml:space="preserve">CEILINGS</t>
  </si>
  <si>
    <t xml:space="preserve">600 x 600 mm mineral fibre suspended ceiling tiles on exposed grid</t>
  </si>
  <si>
    <t xml:space="preserve">12.5 mm gypsum board ceiling on concealed metal frame</t>
  </si>
  <si>
    <t xml:space="preserve">DOORS</t>
  </si>
  <si>
    <t xml:space="preserve">Single leaf hollow metal door 1000 x 2100 mm complete with frame and ironmongery</t>
  </si>
  <si>
    <t xml:space="preserve">nr</t>
  </si>
  <si>
    <t xml:space="preserve">Fire rated door, 60 minutes, 1000 x 2100 mm, complete</t>
  </si>
  <si>
    <t xml:space="preserve">Provisional sum for signage</t>
  </si>
  <si>
    <t xml:space="preserve">Allow for cleaning on completion</t>
  </si>
</sst>
</file>

<file path=xl/styles.xml><?xml version="1.0" encoding="utf-8"?>
<styleSheet xmlns="http://schemas.openxmlformats.org/spreadsheetml/2006/main">
  <fonts count="5"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4" fontId="0" fillId="0" borderId="1" xfId="0" applyNumberFormat="1" applyBorder="1" applyAlignment="1">
      <alignment vertical="top"/>
    </xf>
    <xf numFmtId="3" fontId="0" fillId="0" borderId="1" xfId="0" applyNumberFormat="1" applyBorder="1" applyAlignment="1">
      <alignment horizontal="center" vertical="top"/>
    </xf>
    <xf numFmtId="0" fontId="1" fillId="3" borderId="1" xfId="0" applyFont="1" applyFill="1" applyBorder="1"/>
    <xf numFmtId="4" fontId="1" fillId="3" borderId="1" xfId="0" applyNumberFormat="1" applyFont="1" applyFill="1" applyBorder="1"/>
    <xf numFmtId="0" fontId="1" fillId="3" borderId="1" xfId="0" applyFont="1" applyFill="1" applyBorder="1"/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ySplit="4" topLeftCell="A5" activePane="bottomLeft" state="frozen"/>
    </sheetView>
  </sheetViews>
  <sheetFormatPr defaultRowHeight="12.75"/>
  <cols>
    <col min="1" max="1" width="10" customWidth="1"/>
    <col min="2" max="2" width="50" customWidth="1"/>
    <col min="3" max="3" width="18" customWidth="1"/>
  </cols>
  <sheetData>
    <row r="1">
      <c r="A1" s="1" t="s">
        <v>0</v>
      </c>
    </row>
    <row r="2">
      <c r="A2" s="2" t="s">
        <v>1</v>
      </c>
    </row>
    <row r="3"/>
    <row r="4">
      <c r="A4" s="3" t="s">
        <v>2</v>
      </c>
      <c r="B4" s="3" t="s">
        <v>3</v>
      </c>
      <c r="C4" s="3" t="s">
        <v>4</v>
      </c>
    </row>
    <row r="5">
      <c r="A5" s="5">
        <v>1</v>
      </c>
      <c r="B5" s="4" t="s">
        <v>5</v>
      </c>
      <c r="C5" s="6">
        <f>'Bill 1 - Preliminaries'!F11</f>
        <v>25000</v>
      </c>
    </row>
    <row r="6">
      <c r="A6" s="5">
        <v>2</v>
      </c>
      <c r="B6" s="4" t="s">
        <v>6</v>
      </c>
      <c r="C6" s="6">
        <f>'Bill 2 - Substructure'!F26</f>
        <v>0</v>
      </c>
    </row>
    <row r="7">
      <c r="A7" s="5">
        <v>3</v>
      </c>
      <c r="B7" s="4" t="s">
        <v>7</v>
      </c>
      <c r="C7" s="6">
        <f>'Bill 3 - Superstructure'!F16</f>
        <v>0</v>
      </c>
    </row>
    <row r="8">
      <c r="A8" s="5">
        <v>4</v>
      </c>
      <c r="B8" s="4" t="s">
        <v>8</v>
      </c>
      <c r="C8" s="6">
        <f>'Bill 4 - Finishes'!F23</f>
        <v>15000</v>
      </c>
    </row>
    <row r="9">
      <c r="A9" s="10"/>
      <c r="B9" s="10" t="s">
        <v>9</v>
      </c>
      <c r="C9" s="9">
        <f>SUM(C5:C8)</f>
        <v>40000</v>
      </c>
    </row>
    <row r="10">
      <c r="A10" s="10"/>
      <c r="B10" s="10" t="s">
        <v>10</v>
      </c>
      <c r="C10" s="9">
        <f>C9*0.15</f>
        <v>6000</v>
      </c>
    </row>
    <row r="11">
      <c r="A11" s="10"/>
      <c r="B11" s="10" t="s">
        <v>11</v>
      </c>
      <c r="C11" s="9">
        <f>C9+C10</f>
        <v>46000</v>
      </c>
    </row>
  </sheetData>
  <mergeCells count="2">
    <mergeCell ref="A1:C1"/>
    <mergeCell ref="A2:C2"/>
  </mergeCells>
  <pageMargins left="0.5" right="0.5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4" topLeftCell="A5" activePane="bottomLeft" state="frozen"/>
    </sheetView>
  </sheetViews>
  <sheetFormatPr defaultRowHeight="12.75"/>
  <cols>
    <col min="1" max="1" width="7" customWidth="1"/>
    <col min="2" max="2" width="62" customWidth="1"/>
    <col min="3" max="3" width="10" customWidth="1"/>
    <col min="4" max="4" width="8" customWidth="1"/>
    <col min="5" max="5" width="12" customWidth="1"/>
    <col min="6" max="6" width="16" customWidth="1"/>
  </cols>
  <sheetData>
    <row r="1">
      <c r="A1" s="1" t="s">
        <v>0</v>
      </c>
    </row>
    <row r="2">
      <c r="A2" s="2" t="s">
        <v>12</v>
      </c>
    </row>
    <row r="3"/>
    <row r="4">
      <c r="A4" s="3" t="s">
        <v>13</v>
      </c>
      <c r="B4" s="3" t="s">
        <v>3</v>
      </c>
      <c r="C4" s="3" t="s">
        <v>14</v>
      </c>
      <c r="D4" s="3" t="s">
        <v>15</v>
      </c>
      <c r="E4" s="3" t="s">
        <v>16</v>
      </c>
      <c r="F4" s="3" t="s">
        <v>4</v>
      </c>
    </row>
    <row r="5">
      <c r="A5" s="5"/>
      <c r="B5" s="8" t="s">
        <v>17</v>
      </c>
      <c r="C5" s="5"/>
      <c r="D5" s="5"/>
      <c r="E5" s="6"/>
      <c r="F5" s="6"/>
    </row>
    <row r="6">
      <c r="A6" s="5" t="s">
        <v>18</v>
      </c>
      <c r="B6" s="4" t="s">
        <v>19</v>
      </c>
      <c r="C6" s="7">
        <v>1</v>
      </c>
      <c r="D6" s="5" t="s">
        <v>13</v>
      </c>
      <c r="E6" s="6"/>
      <c r="F6" s="6">
        <f>C6*E6</f>
        <v>0</v>
      </c>
    </row>
    <row r="7">
      <c r="A7" s="5" t="s">
        <v>20</v>
      </c>
      <c r="B7" s="4" t="s">
        <v>21</v>
      </c>
      <c r="C7" s="7">
        <v>1</v>
      </c>
      <c r="D7" s="5" t="s">
        <v>22</v>
      </c>
      <c r="E7" s="6"/>
      <c r="F7" s="6">
        <f>C7*E7</f>
        <v>0</v>
      </c>
    </row>
    <row r="8">
      <c r="A8" s="5" t="s">
        <v>23</v>
      </c>
      <c r="B8" s="4" t="s">
        <v>24</v>
      </c>
      <c r="C8" s="7">
        <v>1</v>
      </c>
      <c r="D8" s="5" t="s">
        <v>13</v>
      </c>
      <c r="E8" s="6"/>
      <c r="F8" s="6">
        <f>C8*E8</f>
        <v>0</v>
      </c>
    </row>
    <row r="9">
      <c r="A9" s="5" t="s">
        <v>25</v>
      </c>
      <c r="B9" s="4" t="s">
        <v>26</v>
      </c>
      <c r="C9" s="7">
        <v>12</v>
      </c>
      <c r="D9" s="5" t="s">
        <v>27</v>
      </c>
      <c r="E9" s="6"/>
      <c r="F9" s="6">
        <f>C9*E9</f>
        <v>0</v>
      </c>
    </row>
    <row r="10">
      <c r="A10" s="5" t="s">
        <v>28</v>
      </c>
      <c r="B10" s="4" t="s">
        <v>29</v>
      </c>
      <c r="C10" s="7"/>
      <c r="D10" s="5" t="s">
        <v>30</v>
      </c>
      <c r="E10" s="6"/>
      <c r="F10" s="6">
        <v>25000</v>
      </c>
    </row>
    <row r="11">
      <c r="A11" s="10"/>
      <c r="B11" s="10" t="s">
        <v>31</v>
      </c>
      <c r="C11" s="10"/>
      <c r="D11" s="10"/>
      <c r="E11" s="10"/>
      <c r="F11" s="9">
        <f>SUM(F5:F10)</f>
        <v>25000</v>
      </c>
    </row>
  </sheetData>
  <mergeCells count="2">
    <mergeCell ref="A1:F1"/>
    <mergeCell ref="A2:F2"/>
  </mergeCells>
  <pageMargins left="0.5" right="0.5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>
      <pane ySplit="4" topLeftCell="A5" activePane="bottomLeft" state="frozen"/>
    </sheetView>
  </sheetViews>
  <sheetFormatPr defaultRowHeight="12.75"/>
  <cols>
    <col min="1" max="1" width="7" customWidth="1"/>
    <col min="2" max="2" width="62" customWidth="1"/>
    <col min="3" max="3" width="10" customWidth="1"/>
    <col min="4" max="4" width="8" customWidth="1"/>
    <col min="5" max="5" width="12" customWidth="1"/>
    <col min="6" max="6" width="16" customWidth="1"/>
  </cols>
  <sheetData>
    <row r="1">
      <c r="A1" s="1" t="s">
        <v>0</v>
      </c>
    </row>
    <row r="2">
      <c r="A2" s="2" t="s">
        <v>32</v>
      </c>
    </row>
    <row r="3"/>
    <row r="4">
      <c r="A4" s="3" t="s">
        <v>13</v>
      </c>
      <c r="B4" s="3" t="s">
        <v>3</v>
      </c>
      <c r="C4" s="3" t="s">
        <v>14</v>
      </c>
      <c r="D4" s="3" t="s">
        <v>15</v>
      </c>
      <c r="E4" s="3" t="s">
        <v>16</v>
      </c>
      <c r="F4" s="3" t="s">
        <v>4</v>
      </c>
    </row>
    <row r="5">
      <c r="A5" s="5"/>
      <c r="B5" s="8" t="s">
        <v>33</v>
      </c>
      <c r="C5" s="5"/>
      <c r="D5" s="5"/>
      <c r="E5" s="6"/>
      <c r="F5" s="6"/>
    </row>
    <row r="6">
      <c r="A6" s="5" t="s">
        <v>18</v>
      </c>
      <c r="B6" s="4" t="s">
        <v>34</v>
      </c>
      <c r="C6" s="7">
        <v>850</v>
      </c>
      <c r="D6" s="5" t="s">
        <v>35</v>
      </c>
      <c r="E6" s="6"/>
      <c r="F6" s="6">
        <f>C6*E6</f>
        <v>0</v>
      </c>
    </row>
    <row r="7">
      <c r="A7" s="5" t="s">
        <v>20</v>
      </c>
      <c r="B7" s="4" t="s">
        <v>36</v>
      </c>
      <c r="C7" s="7">
        <v>210</v>
      </c>
      <c r="D7" s="5" t="s">
        <v>35</v>
      </c>
      <c r="E7" s="6"/>
      <c r="F7" s="6">
        <f>C7*E7</f>
        <v>0</v>
      </c>
    </row>
    <row r="8">
      <c r="A8" s="5" t="s">
        <v>23</v>
      </c>
      <c r="B8" s="4" t="s">
        <v>37</v>
      </c>
      <c r="C8" s="7">
        <v>640</v>
      </c>
      <c r="D8" s="5" t="s">
        <v>35</v>
      </c>
      <c r="E8" s="6"/>
      <c r="F8" s="6">
        <f>C8*E8</f>
        <v>0</v>
      </c>
    </row>
    <row r="9">
      <c r="A9" s="5" t="s">
        <v>25</v>
      </c>
      <c r="B9" s="4" t="s">
        <v>38</v>
      </c>
      <c r="C9" s="7">
        <v>1150</v>
      </c>
      <c r="D9" s="5" t="s">
        <v>39</v>
      </c>
      <c r="E9" s="6"/>
      <c r="F9" s="6">
        <f>C9*E9</f>
        <v>0</v>
      </c>
    </row>
    <row r="10">
      <c r="A10" s="5"/>
      <c r="B10" s="8" t="s">
        <v>40</v>
      </c>
      <c r="C10" s="5"/>
      <c r="D10" s="5"/>
      <c r="E10" s="6"/>
      <c r="F10" s="6"/>
    </row>
    <row r="11">
      <c r="A11" s="5" t="s">
        <v>28</v>
      </c>
      <c r="B11" s="4" t="s">
        <v>41</v>
      </c>
      <c r="C11" s="7">
        <v>420</v>
      </c>
      <c r="D11" s="5" t="s">
        <v>39</v>
      </c>
      <c r="E11" s="6"/>
      <c r="F11" s="6">
        <f>C11*E11</f>
        <v>0</v>
      </c>
    </row>
    <row r="12">
      <c r="A12" s="5"/>
      <c r="B12" s="8" t="s">
        <v>42</v>
      </c>
      <c r="C12" s="5"/>
      <c r="D12" s="5"/>
      <c r="E12" s="6"/>
      <c r="F12" s="6"/>
    </row>
    <row r="13">
      <c r="A13" s="5" t="s">
        <v>43</v>
      </c>
      <c r="B13" s="4" t="s">
        <v>44</v>
      </c>
      <c r="C13" s="7">
        <v>96</v>
      </c>
      <c r="D13" s="5" t="s">
        <v>35</v>
      </c>
      <c r="E13" s="6"/>
      <c r="F13" s="6">
        <f>C13*E13</f>
        <v>0</v>
      </c>
    </row>
    <row r="14">
      <c r="A14" s="5" t="s">
        <v>45</v>
      </c>
      <c r="B14" s="4" t="s">
        <v>46</v>
      </c>
      <c r="C14" s="7">
        <v>48</v>
      </c>
      <c r="D14" s="5" t="s">
        <v>35</v>
      </c>
      <c r="E14" s="6"/>
      <c r="F14" s="6">
        <f>C14*E14</f>
        <v>0</v>
      </c>
    </row>
    <row r="15">
      <c r="A15" s="5" t="s">
        <v>47</v>
      </c>
      <c r="B15" s="4" t="s">
        <v>48</v>
      </c>
      <c r="C15" s="7">
        <v>9</v>
      </c>
      <c r="D15" s="5" t="s">
        <v>35</v>
      </c>
      <c r="E15" s="6"/>
      <c r="F15" s="6">
        <f>C15*E15</f>
        <v>0</v>
      </c>
    </row>
    <row r="16">
      <c r="A16" s="5"/>
      <c r="B16" s="8" t="s">
        <v>49</v>
      </c>
      <c r="C16" s="5"/>
      <c r="D16" s="5"/>
      <c r="E16" s="6"/>
      <c r="F16" s="6"/>
    </row>
    <row r="17">
      <c r="A17" s="5"/>
      <c r="B17" s="8" t="s">
        <v>50</v>
      </c>
      <c r="C17" s="5"/>
      <c r="D17" s="5"/>
      <c r="E17" s="6"/>
      <c r="F17" s="6"/>
    </row>
    <row r="18">
      <c r="A18" s="5" t="s">
        <v>51</v>
      </c>
      <c r="B18" s="4" t="s">
        <v>52</v>
      </c>
      <c r="C18" s="7">
        <v>6800</v>
      </c>
      <c r="D18" s="5" t="s">
        <v>53</v>
      </c>
      <c r="E18" s="6"/>
      <c r="F18" s="6">
        <f>C18*E18</f>
        <v>0</v>
      </c>
    </row>
    <row r="19">
      <c r="A19" s="5" t="s">
        <v>54</v>
      </c>
      <c r="B19" s="4" t="s">
        <v>55</v>
      </c>
      <c r="C19" s="7">
        <v>9400</v>
      </c>
      <c r="D19" s="5" t="s">
        <v>53</v>
      </c>
      <c r="E19" s="6"/>
      <c r="F19" s="6">
        <f>C19*E19</f>
        <v>0</v>
      </c>
    </row>
    <row r="20">
      <c r="A20" s="5" t="s">
        <v>56</v>
      </c>
      <c r="B20" s="4" t="s">
        <v>57</v>
      </c>
      <c r="C20" s="7">
        <v>4200</v>
      </c>
      <c r="D20" s="5" t="s">
        <v>53</v>
      </c>
      <c r="E20" s="6"/>
      <c r="F20" s="6">
        <f>C20*E20</f>
        <v>0</v>
      </c>
    </row>
    <row r="21">
      <c r="A21" s="5"/>
      <c r="B21" s="8" t="s">
        <v>58</v>
      </c>
      <c r="C21" s="5"/>
      <c r="D21" s="5"/>
      <c r="E21" s="6"/>
      <c r="F21" s="6"/>
    </row>
    <row r="22">
      <c r="A22" s="5" t="s">
        <v>59</v>
      </c>
      <c r="B22" s="4" t="s">
        <v>60</v>
      </c>
      <c r="C22" s="7">
        <v>380</v>
      </c>
      <c r="D22" s="5" t="s">
        <v>39</v>
      </c>
      <c r="E22" s="6"/>
      <c r="F22" s="6">
        <f>C22*E22</f>
        <v>0</v>
      </c>
    </row>
    <row r="23">
      <c r="A23" s="5"/>
      <c r="B23" s="8" t="s">
        <v>61</v>
      </c>
      <c r="C23" s="5"/>
      <c r="D23" s="5"/>
      <c r="E23" s="6"/>
      <c r="F23" s="6"/>
    </row>
    <row r="24">
      <c r="A24" s="5" t="s">
        <v>62</v>
      </c>
      <c r="B24" s="4" t="s">
        <v>63</v>
      </c>
      <c r="C24" s="7">
        <v>520</v>
      </c>
      <c r="D24" s="5" t="s">
        <v>39</v>
      </c>
      <c r="E24" s="6"/>
      <c r="F24" s="6">
        <f>C24*E24</f>
        <v>0</v>
      </c>
    </row>
    <row r="25">
      <c r="A25" s="5" t="s">
        <v>64</v>
      </c>
      <c r="B25" s="4" t="s">
        <v>65</v>
      </c>
      <c r="C25" s="7">
        <v>1150</v>
      </c>
      <c r="D25" s="5" t="s">
        <v>39</v>
      </c>
      <c r="E25" s="6"/>
      <c r="F25" s="6">
        <f>C25*E25</f>
        <v>0</v>
      </c>
    </row>
    <row r="26">
      <c r="A26" s="10"/>
      <c r="B26" s="10" t="s">
        <v>31</v>
      </c>
      <c r="C26" s="10"/>
      <c r="D26" s="10"/>
      <c r="E26" s="10"/>
      <c r="F26" s="9">
        <f>SUM(F5:F25)</f>
        <v>0</v>
      </c>
    </row>
  </sheetData>
  <mergeCells count="2">
    <mergeCell ref="A1:F1"/>
    <mergeCell ref="A2:F2"/>
  </mergeCells>
  <pageMargins left="0.5" right="0.5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pane ySplit="4" topLeftCell="A5" activePane="bottomLeft" state="frozen"/>
    </sheetView>
  </sheetViews>
  <sheetFormatPr defaultRowHeight="12.75"/>
  <cols>
    <col min="1" max="1" width="7" customWidth="1"/>
    <col min="2" max="2" width="62" customWidth="1"/>
    <col min="3" max="3" width="10" customWidth="1"/>
    <col min="4" max="4" width="8" customWidth="1"/>
    <col min="5" max="5" width="12" customWidth="1"/>
    <col min="6" max="6" width="16" customWidth="1"/>
  </cols>
  <sheetData>
    <row r="1">
      <c r="A1" s="1" t="s">
        <v>0</v>
      </c>
    </row>
    <row r="2">
      <c r="A2" s="2" t="s">
        <v>66</v>
      </c>
    </row>
    <row r="3"/>
    <row r="4">
      <c r="A4" s="3" t="s">
        <v>13</v>
      </c>
      <c r="B4" s="3" t="s">
        <v>3</v>
      </c>
      <c r="C4" s="3" t="s">
        <v>14</v>
      </c>
      <c r="D4" s="3" t="s">
        <v>15</v>
      </c>
      <c r="E4" s="3" t="s">
        <v>16</v>
      </c>
      <c r="F4" s="3" t="s">
        <v>4</v>
      </c>
    </row>
    <row r="5">
      <c r="A5" s="5"/>
      <c r="B5" s="8" t="s">
        <v>67</v>
      </c>
      <c r="C5" s="5"/>
      <c r="D5" s="5"/>
      <c r="E5" s="6"/>
      <c r="F5" s="6"/>
    </row>
    <row r="6">
      <c r="A6" s="5" t="s">
        <v>18</v>
      </c>
      <c r="B6" s="4" t="s">
        <v>68</v>
      </c>
      <c r="C6" s="7">
        <v>38</v>
      </c>
      <c r="D6" s="5" t="s">
        <v>35</v>
      </c>
      <c r="E6" s="6"/>
      <c r="F6" s="6">
        <f>C6*E6</f>
        <v>0</v>
      </c>
    </row>
    <row r="7">
      <c r="A7" s="5" t="s">
        <v>20</v>
      </c>
      <c r="B7" s="4" t="s">
        <v>69</v>
      </c>
      <c r="C7" s="7">
        <v>62</v>
      </c>
      <c r="D7" s="5" t="s">
        <v>35</v>
      </c>
      <c r="E7" s="6"/>
      <c r="F7" s="6">
        <f>C7*E7</f>
        <v>0</v>
      </c>
    </row>
    <row r="8">
      <c r="A8" s="5" t="s">
        <v>23</v>
      </c>
      <c r="B8" s="4" t="s">
        <v>70</v>
      </c>
      <c r="C8" s="7">
        <v>210</v>
      </c>
      <c r="D8" s="5" t="s">
        <v>35</v>
      </c>
      <c r="E8" s="6"/>
      <c r="F8" s="6">
        <f>C8*E8</f>
        <v>0</v>
      </c>
    </row>
    <row r="9">
      <c r="A9" s="5"/>
      <c r="B9" s="8" t="s">
        <v>71</v>
      </c>
      <c r="C9" s="5"/>
      <c r="D9" s="5"/>
      <c r="E9" s="6"/>
      <c r="F9" s="6"/>
    </row>
    <row r="10">
      <c r="A10" s="5"/>
      <c r="B10" s="8" t="s">
        <v>72</v>
      </c>
      <c r="C10" s="5"/>
      <c r="D10" s="5"/>
      <c r="E10" s="6"/>
      <c r="F10" s="6"/>
    </row>
    <row r="11">
      <c r="A11" s="5" t="s">
        <v>25</v>
      </c>
      <c r="B11" s="4" t="s">
        <v>73</v>
      </c>
      <c r="C11" s="7">
        <v>1240</v>
      </c>
      <c r="D11" s="5" t="s">
        <v>39</v>
      </c>
      <c r="E11" s="6"/>
      <c r="F11" s="6">
        <f>C11*E11</f>
        <v>0</v>
      </c>
    </row>
    <row r="12">
      <c r="A12" s="5" t="s">
        <v>28</v>
      </c>
      <c r="B12" s="4" t="s">
        <v>74</v>
      </c>
      <c r="C12" s="7">
        <v>860</v>
      </c>
      <c r="D12" s="5" t="s">
        <v>39</v>
      </c>
      <c r="E12" s="6"/>
      <c r="F12" s="6">
        <f>C12*E12</f>
        <v>0</v>
      </c>
    </row>
    <row r="13">
      <c r="A13" s="5" t="s">
        <v>43</v>
      </c>
      <c r="B13" s="4" t="s">
        <v>75</v>
      </c>
      <c r="C13" s="7">
        <v>120</v>
      </c>
      <c r="D13" s="5" t="s">
        <v>39</v>
      </c>
      <c r="E13" s="6"/>
      <c r="F13" s="6">
        <f>C13*E13</f>
        <v>0</v>
      </c>
    </row>
    <row r="14">
      <c r="A14" s="5"/>
      <c r="B14" s="8" t="s">
        <v>76</v>
      </c>
      <c r="C14" s="5"/>
      <c r="D14" s="5"/>
      <c r="E14" s="6"/>
      <c r="F14" s="6"/>
    </row>
    <row r="15">
      <c r="A15" s="5" t="s">
        <v>45</v>
      </c>
      <c r="B15" s="4" t="s">
        <v>77</v>
      </c>
      <c r="C15" s="7">
        <v>12.5</v>
      </c>
      <c r="D15" s="5" t="s">
        <v>78</v>
      </c>
      <c r="E15" s="6"/>
      <c r="F15" s="6">
        <f>C15*E15</f>
        <v>0</v>
      </c>
    </row>
    <row r="16">
      <c r="A16" s="10"/>
      <c r="B16" s="10" t="s">
        <v>31</v>
      </c>
      <c r="C16" s="10"/>
      <c r="D16" s="10"/>
      <c r="E16" s="10"/>
      <c r="F16" s="9">
        <f>SUM(F5:F15)</f>
        <v>0</v>
      </c>
    </row>
  </sheetData>
  <mergeCells count="2">
    <mergeCell ref="A1:F1"/>
    <mergeCell ref="A2:F2"/>
  </mergeCells>
  <pageMargins left="0.5" right="0.5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>
      <pane ySplit="4" topLeftCell="A5" activePane="bottomLeft" state="frozen"/>
    </sheetView>
  </sheetViews>
  <sheetFormatPr defaultRowHeight="12.75"/>
  <cols>
    <col min="1" max="1" width="7" customWidth="1"/>
    <col min="2" max="2" width="62" customWidth="1"/>
    <col min="3" max="3" width="10" customWidth="1"/>
    <col min="4" max="4" width="8" customWidth="1"/>
    <col min="5" max="5" width="12" customWidth="1"/>
    <col min="6" max="6" width="16" customWidth="1"/>
  </cols>
  <sheetData>
    <row r="1">
      <c r="A1" s="1" t="s">
        <v>0</v>
      </c>
    </row>
    <row r="2">
      <c r="A2" s="2" t="s">
        <v>79</v>
      </c>
    </row>
    <row r="3"/>
    <row r="4">
      <c r="A4" s="3" t="s">
        <v>13</v>
      </c>
      <c r="B4" s="3" t="s">
        <v>3</v>
      </c>
      <c r="C4" s="3" t="s">
        <v>14</v>
      </c>
      <c r="D4" s="3" t="s">
        <v>15</v>
      </c>
      <c r="E4" s="3" t="s">
        <v>16</v>
      </c>
      <c r="F4" s="3" t="s">
        <v>4</v>
      </c>
    </row>
    <row r="5">
      <c r="A5" s="5"/>
      <c r="B5" s="8" t="s">
        <v>80</v>
      </c>
      <c r="C5" s="5"/>
      <c r="D5" s="5"/>
      <c r="E5" s="6"/>
      <c r="F5" s="6"/>
    </row>
    <row r="6">
      <c r="A6" s="5" t="s">
        <v>18</v>
      </c>
      <c r="B6" s="4" t="s">
        <v>81</v>
      </c>
      <c r="C6" s="7">
        <v>1050</v>
      </c>
      <c r="D6" s="5" t="s">
        <v>39</v>
      </c>
      <c r="E6" s="6"/>
      <c r="F6" s="6">
        <f>C6*E6</f>
        <v>0</v>
      </c>
    </row>
    <row r="7">
      <c r="A7" s="5" t="s">
        <v>20</v>
      </c>
      <c r="B7" s="4" t="s">
        <v>82</v>
      </c>
      <c r="C7" s="7">
        <v>140</v>
      </c>
      <c r="D7" s="5" t="s">
        <v>39</v>
      </c>
      <c r="E7" s="6"/>
      <c r="F7" s="6">
        <f>C7*E7</f>
        <v>0</v>
      </c>
    </row>
    <row r="8">
      <c r="A8" s="5" t="s">
        <v>23</v>
      </c>
      <c r="B8" s="4" t="s">
        <v>83</v>
      </c>
      <c r="C8" s="7">
        <v>2400</v>
      </c>
      <c r="D8" s="5" t="s">
        <v>39</v>
      </c>
      <c r="E8" s="6"/>
      <c r="F8" s="6">
        <f>C8*E8</f>
        <v>0</v>
      </c>
    </row>
    <row r="9">
      <c r="A9" s="5"/>
      <c r="B9" s="8" t="s">
        <v>84</v>
      </c>
      <c r="C9" s="5"/>
      <c r="D9" s="5"/>
      <c r="E9" s="6"/>
      <c r="F9" s="6"/>
    </row>
    <row r="10">
      <c r="A10" s="5" t="s">
        <v>25</v>
      </c>
      <c r="B10" s="4" t="s">
        <v>85</v>
      </c>
      <c r="C10" s="7">
        <v>3600</v>
      </c>
      <c r="D10" s="5" t="s">
        <v>39</v>
      </c>
      <c r="E10" s="6"/>
      <c r="F10" s="6">
        <f>C10*E10</f>
        <v>0</v>
      </c>
    </row>
    <row r="11">
      <c r="A11" s="5" t="s">
        <v>28</v>
      </c>
      <c r="B11" s="4" t="s">
        <v>86</v>
      </c>
      <c r="C11" s="7">
        <v>3600</v>
      </c>
      <c r="D11" s="5" t="s">
        <v>39</v>
      </c>
      <c r="E11" s="6"/>
      <c r="F11" s="6">
        <f>C11*E11</f>
        <v>0</v>
      </c>
    </row>
    <row r="12">
      <c r="A12" s="5" t="s">
        <v>43</v>
      </c>
      <c r="B12" s="4" t="s">
        <v>87</v>
      </c>
      <c r="C12" s="7">
        <v>260</v>
      </c>
      <c r="D12" s="5" t="s">
        <v>39</v>
      </c>
      <c r="E12" s="6"/>
      <c r="F12" s="6">
        <f>C12*E12</f>
        <v>0</v>
      </c>
    </row>
    <row r="13">
      <c r="A13" s="10"/>
      <c r="B13" s="10" t="s">
        <v>88</v>
      </c>
      <c r="C13" s="10"/>
      <c r="D13" s="10"/>
      <c r="E13" s="10"/>
      <c r="F13" s="9">
        <f>SUM(F5:F12)</f>
        <v>0</v>
      </c>
    </row>
    <row r="14">
      <c r="A14" s="10"/>
      <c r="B14" s="10" t="s">
        <v>89</v>
      </c>
      <c r="C14" s="10"/>
      <c r="D14" s="10"/>
      <c r="E14" s="10"/>
      <c r="F14" s="9">
        <f>F13</f>
        <v>0</v>
      </c>
    </row>
    <row r="15">
      <c r="A15" s="5"/>
      <c r="B15" s="8" t="s">
        <v>90</v>
      </c>
      <c r="C15" s="5"/>
      <c r="D15" s="5"/>
      <c r="E15" s="6"/>
      <c r="F15" s="6"/>
    </row>
    <row r="16">
      <c r="A16" s="5" t="s">
        <v>45</v>
      </c>
      <c r="B16" s="4" t="s">
        <v>91</v>
      </c>
      <c r="C16" s="7">
        <v>820</v>
      </c>
      <c r="D16" s="5" t="s">
        <v>39</v>
      </c>
      <c r="E16" s="6"/>
      <c r="F16" s="6">
        <f>C16*E16</f>
        <v>0</v>
      </c>
    </row>
    <row r="17">
      <c r="A17" s="5" t="s">
        <v>47</v>
      </c>
      <c r="B17" s="4" t="s">
        <v>92</v>
      </c>
      <c r="C17" s="7">
        <v>260</v>
      </c>
      <c r="D17" s="5" t="s">
        <v>39</v>
      </c>
      <c r="E17" s="6"/>
      <c r="F17" s="6">
        <f>C17*E17</f>
        <v>0</v>
      </c>
    </row>
    <row r="18">
      <c r="A18" s="5"/>
      <c r="B18" s="8" t="s">
        <v>93</v>
      </c>
      <c r="C18" s="5"/>
      <c r="D18" s="5"/>
      <c r="E18" s="6"/>
      <c r="F18" s="6"/>
    </row>
    <row r="19">
      <c r="A19" s="5" t="s">
        <v>51</v>
      </c>
      <c r="B19" s="4" t="s">
        <v>94</v>
      </c>
      <c r="C19" s="7">
        <v>8</v>
      </c>
      <c r="D19" s="5" t="s">
        <v>95</v>
      </c>
      <c r="E19" s="6"/>
      <c r="F19" s="6">
        <f>C19*E19</f>
        <v>0</v>
      </c>
    </row>
    <row r="20">
      <c r="A20" s="5" t="s">
        <v>54</v>
      </c>
      <c r="B20" s="4" t="s">
        <v>96</v>
      </c>
      <c r="C20" s="7">
        <v>4</v>
      </c>
      <c r="D20" s="5" t="s">
        <v>95</v>
      </c>
      <c r="E20" s="6"/>
      <c r="F20" s="6">
        <f>C20*E20</f>
        <v>0</v>
      </c>
    </row>
    <row r="21">
      <c r="A21" s="5" t="s">
        <v>56</v>
      </c>
      <c r="B21" s="4" t="s">
        <v>97</v>
      </c>
      <c r="C21" s="7"/>
      <c r="D21" s="5" t="s">
        <v>30</v>
      </c>
      <c r="E21" s="6"/>
      <c r="F21" s="6">
        <v>15000</v>
      </c>
    </row>
    <row r="22">
      <c r="A22" s="5" t="s">
        <v>59</v>
      </c>
      <c r="B22" s="4" t="s">
        <v>98</v>
      </c>
      <c r="C22" s="7">
        <v>1</v>
      </c>
      <c r="D22" s="5" t="s">
        <v>13</v>
      </c>
      <c r="E22" s="6"/>
      <c r="F22" s="6">
        <f>C22*E22</f>
        <v>0</v>
      </c>
    </row>
    <row r="23">
      <c r="A23" s="10"/>
      <c r="B23" s="10" t="s">
        <v>31</v>
      </c>
      <c r="C23" s="10"/>
      <c r="D23" s="10"/>
      <c r="E23" s="10"/>
      <c r="F23" s="9">
        <f>SUM(F14:F22)</f>
        <v>15000</v>
      </c>
    </row>
  </sheetData>
  <mergeCells count="2">
    <mergeCell ref="A1:F1"/>
    <mergeCell ref="A2:F2"/>
  </mergeCells>
  <pageMargins left="0.5" right="0.5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2026-10-20T09:00:00Z</dcterms:created>
</cp:coreProperties>
</file>