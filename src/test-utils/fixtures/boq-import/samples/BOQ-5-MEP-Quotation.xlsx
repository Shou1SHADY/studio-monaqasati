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عرض السعر" sheetId="1" r:id="rId1"/>
  </sheets>
  <calcPr calcId="191029" fullCalcOnLoad="1"/>
</workbook>
</file>

<file path=xl/sharedStrings.xml><?xml version="1.0" encoding="utf-8"?>
<sst xmlns="http://schemas.openxmlformats.org/spreadsheetml/2006/main" count="73" uniqueCount="54">
  <si>
    <t xml:space="preserve">عرض سعر — توريد مواد سباكة وكهرباء</t>
  </si>
  <si>
    <t xml:space="preserve">إلى: شركة .................. للمقاولات          المشروع: عمارة سكنية 3 أدوار — حي الملقا</t>
  </si>
  <si>
    <t xml:space="preserve">رقم العرض: Q-118/2026          التاريخ: 2026/10/20</t>
  </si>
  <si>
    <t xml:space="preserve">م</t>
  </si>
  <si>
    <t xml:space="preserve">البيان</t>
  </si>
  <si>
    <t xml:space="preserve">الكمية</t>
  </si>
  <si>
    <t xml:space="preserve">الوحدة</t>
  </si>
  <si>
    <t xml:space="preserve">سعر الوحدة</t>
  </si>
  <si>
    <t xml:space="preserve">الإجمالي</t>
  </si>
  <si>
    <t xml:space="preserve">No.</t>
  </si>
  <si>
    <t xml:space="preserve">Description</t>
  </si>
  <si>
    <t xml:space="preserve">Qty</t>
  </si>
  <si>
    <t xml:space="preserve">Unit</t>
  </si>
  <si>
    <t xml:space="preserve">Unit price</t>
  </si>
  <si>
    <t xml:space="preserve">Total</t>
  </si>
  <si>
    <t xml:space="preserve">أولاً: مواد السباكة</t>
  </si>
  <si>
    <t xml:space="preserve">ماسورة PPR حار 20 مم (PN20)</t>
  </si>
  <si>
    <t xml:space="preserve">متر</t>
  </si>
  <si>
    <t xml:space="preserve">ماسورة PPR بارد 25 مم</t>
  </si>
  <si>
    <t xml:space="preserve">ماسورة UPVC صرف 4 انش</t>
  </si>
  <si>
    <t xml:space="preserve">١٦٠</t>
  </si>
  <si>
    <t xml:space="preserve">ماسورة UPVC صرف 2 انش</t>
  </si>
  <si>
    <t xml:space="preserve">كوع PPR 20 مم</t>
  </si>
  <si>
    <t xml:space="preserve">حبة</t>
  </si>
  <si>
    <t xml:space="preserve">تي PPR 25 مم</t>
  </si>
  <si>
    <t xml:space="preserve">محبس زاوية 1/2 انش</t>
  </si>
  <si>
    <t xml:space="preserve">خلاط مغسلة</t>
  </si>
  <si>
    <t xml:space="preserve">سخان كهربائي 80 لتر</t>
  </si>
  <si>
    <t xml:space="preserve">مضخة ماء 1 حصان</t>
  </si>
  <si>
    <t xml:space="preserve">خزان علوي 2000 لتر</t>
  </si>
  <si>
    <t xml:space="preserve">أجور تمديد وتركيب السباكة</t>
  </si>
  <si>
    <t xml:space="preserve">مقطوع</t>
  </si>
  <si>
    <t xml:space="preserve">ثانياً: مواد الكهرباء</t>
  </si>
  <si>
    <t xml:space="preserve">سلك 2.5 ملم (لفة 100 متر)</t>
  </si>
  <si>
    <t xml:space="preserve">لفة</t>
  </si>
  <si>
    <t xml:space="preserve">سلك 4 ملم</t>
  </si>
  <si>
    <t xml:space="preserve">كيبل نحاس 4×25 مم2</t>
  </si>
  <si>
    <t xml:space="preserve">ماسورة كهرباء 20 مم (ليّ)</t>
  </si>
  <si>
    <t xml:space="preserve">900 متر</t>
  </si>
  <si>
    <t xml:space="preserve">علب كهرباء مربعة</t>
  </si>
  <si>
    <t xml:space="preserve">مفتاح إنارة مفرد</t>
  </si>
  <si>
    <t xml:space="preserve">فيش 13 أمبير مزدوج</t>
  </si>
  <si>
    <t xml:space="preserve">قاطع 20 أمبير</t>
  </si>
  <si>
    <t xml:space="preserve">طبلون 12 خط</t>
  </si>
  <si>
    <t xml:space="preserve">كشاف LED بانل 60×60</t>
  </si>
  <si>
    <t xml:space="preserve">سبوت لايت 7 واط</t>
  </si>
  <si>
    <t xml:space="preserve">٢٢٠</t>
  </si>
  <si>
    <t xml:space="preserve">أجور تمديد وتركيب الكهرباء</t>
  </si>
  <si>
    <t xml:space="preserve">المجموع</t>
  </si>
  <si>
    <t xml:space="preserve">ضريبة القيمة المضافة 15%</t>
  </si>
  <si>
    <t xml:space="preserve">الإجمالي شامل الضريبة</t>
  </si>
  <si>
    <t xml:space="preserve">ملاحظات:</t>
  </si>
  <si>
    <t xml:space="preserve">1- الأسعار سارية لمدة 15 يوماً من تاريخه.</t>
  </si>
  <si>
    <t xml:space="preserve">2- التوريد خلال 7 أيام عمل من تاريخ أمر الشراء.</t>
  </si>
</sst>
</file>

<file path=xl/styles.xml><?xml version="1.0" encoding="utf-8"?>
<styleSheet xmlns="http://schemas.openxmlformats.org/spreadsheetml/2006/main">
  <fonts count="5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vertical="top"/>
    </xf>
    <xf numFmtId="3" fontId="0" fillId="0" borderId="1" xfId="0" applyNumberFormat="1" applyBorder="1" applyAlignment="1">
      <alignment horizontal="center" vertical="top"/>
    </xf>
    <xf numFmtId="0" fontId="1" fillId="3" borderId="1" xfId="0" applyFont="1" applyFill="1" applyBorder="1"/>
    <xf numFmtId="4" fontId="1" fillId="3" borderId="1" xfId="0" applyNumberFormat="1" applyFont="1" applyFill="1" applyBorder="1"/>
    <xf numFmtId="0" fontId="1" fillId="3" borderId="1" xfId="0" applyFont="1" applyFill="1" applyBorder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rightToLeft="1" workbookViewId="0"/>
  </sheetViews>
  <sheetFormatPr defaultRowHeight="12.75"/>
  <cols>
    <col min="1" max="1" width="6" customWidth="1"/>
    <col min="2" max="2" width="44" customWidth="1"/>
    <col min="3" max="3" width="11" customWidth="1"/>
    <col min="4" max="4" width="9" customWidth="1"/>
    <col min="5" max="5" width="12" customWidth="1"/>
    <col min="6" max="6" width="14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/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>
      <c r="A7" s="8" t="s">
        <v>15</v>
      </c>
    </row>
    <row r="8">
      <c r="A8" s="5">
        <v>1</v>
      </c>
      <c r="B8" s="4" t="s">
        <v>16</v>
      </c>
      <c r="C8" s="7">
        <v>350</v>
      </c>
      <c r="D8" s="5" t="s">
        <v>17</v>
      </c>
      <c r="E8" s="6">
        <v>9</v>
      </c>
      <c r="F8" s="6">
        <f>C8*E8</f>
        <v>3150</v>
      </c>
    </row>
    <row r="9">
      <c r="A9" s="5">
        <v>2</v>
      </c>
      <c r="B9" s="4" t="s">
        <v>18</v>
      </c>
      <c r="C9" s="7">
        <v>280</v>
      </c>
      <c r="D9" s="5" t="s">
        <v>17</v>
      </c>
      <c r="E9" s="6">
        <v>11</v>
      </c>
      <c r="F9" s="6">
        <f>C9*E9</f>
        <v>3080</v>
      </c>
    </row>
    <row r="10">
      <c r="A10" s="5">
        <v>3</v>
      </c>
      <c r="B10" s="4" t="s">
        <v>19</v>
      </c>
      <c r="C10" s="7" t="s">
        <v>20</v>
      </c>
      <c r="D10" s="5" t="s">
        <v>17</v>
      </c>
      <c r="E10" s="6">
        <v>28</v>
      </c>
      <c r="F10" s="6">
        <f>IFERROR(C10*E10,160*E10)</f>
        <v>4480</v>
      </c>
    </row>
    <row r="11">
      <c r="A11" s="5">
        <v>4</v>
      </c>
      <c r="B11" s="4" t="s">
        <v>21</v>
      </c>
      <c r="C11" s="7">
        <v>90</v>
      </c>
      <c r="D11" s="5" t="s">
        <v>3</v>
      </c>
      <c r="E11" s="6">
        <v>14</v>
      </c>
      <c r="F11" s="6">
        <f>C11*E11</f>
        <v>1260</v>
      </c>
    </row>
    <row r="12">
      <c r="A12" s="5">
        <v>5</v>
      </c>
      <c r="B12" s="4" t="s">
        <v>22</v>
      </c>
      <c r="C12" s="7">
        <v>240</v>
      </c>
      <c r="D12" s="5" t="s">
        <v>23</v>
      </c>
      <c r="E12" s="6">
        <v>1.5</v>
      </c>
      <c r="F12" s="6">
        <f>C12*E12</f>
        <v>360</v>
      </c>
    </row>
    <row r="13">
      <c r="A13" s="5">
        <v>6</v>
      </c>
      <c r="B13" s="4" t="s">
        <v>24</v>
      </c>
      <c r="C13" s="7">
        <v>120</v>
      </c>
      <c r="D13" s="5" t="s">
        <v>23</v>
      </c>
      <c r="E13" s="6">
        <v>2.5</v>
      </c>
      <c r="F13" s="6">
        <f>C13*E13</f>
        <v>300</v>
      </c>
    </row>
    <row r="14">
      <c r="A14" s="5">
        <v>7</v>
      </c>
      <c r="B14" s="4" t="s">
        <v>25</v>
      </c>
      <c r="C14" s="7">
        <v>60</v>
      </c>
      <c r="D14" s="5" t="s">
        <v>23</v>
      </c>
      <c r="E14" s="6">
        <v>18</v>
      </c>
      <c r="F14" s="6">
        <f>C14*E14</f>
        <v>1080</v>
      </c>
    </row>
    <row r="15">
      <c r="A15" s="5">
        <v>8</v>
      </c>
      <c r="B15" s="4" t="s">
        <v>26</v>
      </c>
      <c r="C15" s="7">
        <v>12</v>
      </c>
      <c r="D15" s="5" t="s">
        <v>23</v>
      </c>
      <c r="E15" s="6">
        <v>160</v>
      </c>
      <c r="F15" s="6">
        <f>C15*E15</f>
        <v>1920</v>
      </c>
    </row>
    <row r="16">
      <c r="A16" s="5">
        <v>9</v>
      </c>
      <c r="B16" s="4" t="s">
        <v>27</v>
      </c>
      <c r="C16" s="7">
        <v>6</v>
      </c>
      <c r="D16" s="5" t="s">
        <v>23</v>
      </c>
      <c r="E16" s="6">
        <v>820</v>
      </c>
      <c r="F16" s="6">
        <f>C16*E16</f>
        <v>4920</v>
      </c>
    </row>
    <row r="17">
      <c r="A17" s="5">
        <v>10</v>
      </c>
      <c r="B17" s="4" t="s">
        <v>28</v>
      </c>
      <c r="C17" s="7">
        <v>2</v>
      </c>
      <c r="D17" s="5" t="s">
        <v>23</v>
      </c>
      <c r="E17" s="6">
        <v>1350</v>
      </c>
      <c r="F17" s="6">
        <f>C17*E17</f>
        <v>2700</v>
      </c>
    </row>
    <row r="18">
      <c r="A18" s="5">
        <v>11</v>
      </c>
      <c r="B18" s="4" t="s">
        <v>29</v>
      </c>
      <c r="C18" s="7">
        <v>3</v>
      </c>
      <c r="D18" s="5" t="s">
        <v>23</v>
      </c>
      <c r="E18" s="6">
        <v>1150</v>
      </c>
      <c r="F18" s="6">
        <f>C18*E18</f>
        <v>3450</v>
      </c>
    </row>
    <row r="19">
      <c r="A19" s="5">
        <v>12</v>
      </c>
      <c r="B19" s="4" t="s">
        <v>30</v>
      </c>
      <c r="C19" s="7">
        <v>1</v>
      </c>
      <c r="D19" s="5" t="s">
        <v>31</v>
      </c>
      <c r="E19" s="6">
        <v>14000</v>
      </c>
      <c r="F19" s="6">
        <f>C19*E19</f>
        <v>14000</v>
      </c>
    </row>
    <row r="20">
      <c r="A20" s="8" t="s">
        <v>32</v>
      </c>
    </row>
    <row r="21">
      <c r="A21" s="5">
        <v>13</v>
      </c>
      <c r="B21" s="4" t="s">
        <v>33</v>
      </c>
      <c r="C21" s="7">
        <v>40</v>
      </c>
      <c r="D21" s="5" t="s">
        <v>34</v>
      </c>
      <c r="E21" s="6">
        <v>165</v>
      </c>
      <c r="F21" s="6">
        <f>C21*E21</f>
        <v>6600</v>
      </c>
    </row>
    <row r="22">
      <c r="A22" s="5">
        <v>14</v>
      </c>
      <c r="B22" s="4" t="s">
        <v>35</v>
      </c>
      <c r="C22" s="7">
        <v>18</v>
      </c>
      <c r="D22" s="5" t="s">
        <v>34</v>
      </c>
      <c r="E22" s="6">
        <v>260</v>
      </c>
      <c r="F22" s="6">
        <f>C22*E22</f>
        <v>4680</v>
      </c>
    </row>
    <row r="23">
      <c r="A23" s="5">
        <v>15</v>
      </c>
      <c r="B23" s="4" t="s">
        <v>36</v>
      </c>
      <c r="C23" s="7">
        <v>60</v>
      </c>
      <c r="D23" s="5" t="s">
        <v>17</v>
      </c>
      <c r="E23" s="6">
        <v>145</v>
      </c>
      <c r="F23" s="6">
        <f>C23*E23</f>
        <v>8700</v>
      </c>
    </row>
    <row r="24">
      <c r="A24" s="5">
        <v>16</v>
      </c>
      <c r="B24" s="4" t="s">
        <v>37</v>
      </c>
      <c r="C24" s="7" t="s">
        <v>38</v>
      </c>
      <c r="D24" s="5"/>
      <c r="E24" s="6">
        <v>1.2</v>
      </c>
      <c r="F24" s="6">
        <f>IFERROR(C24*E24,900*E24)</f>
        <v>1080</v>
      </c>
    </row>
    <row r="25">
      <c r="A25" s="5">
        <v>17</v>
      </c>
      <c r="B25" s="4" t="s">
        <v>39</v>
      </c>
      <c r="C25" s="7">
        <v>300</v>
      </c>
      <c r="D25" s="5" t="s">
        <v>23</v>
      </c>
      <c r="E25" s="6">
        <v>2</v>
      </c>
      <c r="F25" s="6">
        <f>C25*E25</f>
        <v>600</v>
      </c>
    </row>
    <row r="26">
      <c r="A26" s="5">
        <v>18</v>
      </c>
      <c r="B26" s="4" t="s">
        <v>40</v>
      </c>
      <c r="C26" s="7">
        <v>120</v>
      </c>
      <c r="D26" s="5" t="s">
        <v>23</v>
      </c>
      <c r="E26" s="6">
        <v>14</v>
      </c>
      <c r="F26" s="6">
        <f>C26*E26</f>
        <v>1680</v>
      </c>
    </row>
    <row r="27">
      <c r="A27" s="5">
        <v>19</v>
      </c>
      <c r="B27" s="4" t="s">
        <v>41</v>
      </c>
      <c r="C27" s="7">
        <v>140</v>
      </c>
      <c r="D27" s="5" t="s">
        <v>23</v>
      </c>
      <c r="E27" s="6">
        <v>22</v>
      </c>
      <c r="F27" s="6">
        <f>C27*E27</f>
        <v>3080</v>
      </c>
    </row>
    <row r="28">
      <c r="A28" s="5">
        <v>20</v>
      </c>
      <c r="B28" s="4" t="s">
        <v>42</v>
      </c>
      <c r="C28" s="7">
        <v>48</v>
      </c>
      <c r="D28" s="5" t="s">
        <v>23</v>
      </c>
      <c r="E28" s="6">
        <v>28</v>
      </c>
      <c r="F28" s="6">
        <f>C28*E28</f>
        <v>1344</v>
      </c>
    </row>
    <row r="29">
      <c r="A29" s="5">
        <v>21</v>
      </c>
      <c r="B29" s="4" t="s">
        <v>43</v>
      </c>
      <c r="C29" s="7">
        <v>6</v>
      </c>
      <c r="D29" s="5" t="s">
        <v>23</v>
      </c>
      <c r="E29" s="6">
        <v>240</v>
      </c>
      <c r="F29" s="6">
        <f>C29*E29</f>
        <v>1440</v>
      </c>
    </row>
    <row r="30">
      <c r="A30" s="5">
        <v>22</v>
      </c>
      <c r="B30" s="4" t="s">
        <v>44</v>
      </c>
      <c r="C30" s="7">
        <v>90</v>
      </c>
      <c r="D30" s="5" t="s">
        <v>23</v>
      </c>
      <c r="E30" s="6">
        <v>75</v>
      </c>
      <c r="F30" s="6">
        <f>C30*E30</f>
        <v>6750</v>
      </c>
    </row>
    <row r="31">
      <c r="A31" s="5">
        <v>23</v>
      </c>
      <c r="B31" s="4" t="s">
        <v>45</v>
      </c>
      <c r="C31" s="7" t="s">
        <v>46</v>
      </c>
      <c r="D31" s="5" t="s">
        <v>23</v>
      </c>
      <c r="E31" s="6">
        <v>18</v>
      </c>
      <c r="F31" s="6">
        <f>IFERROR(C31*E31,220*E31)</f>
        <v>3960</v>
      </c>
    </row>
    <row r="32">
      <c r="A32" s="5">
        <v>24</v>
      </c>
      <c r="B32" s="4" t="s">
        <v>47</v>
      </c>
      <c r="C32" s="7">
        <v>1</v>
      </c>
      <c r="D32" s="5" t="s">
        <v>31</v>
      </c>
      <c r="E32" s="6">
        <v>18000</v>
      </c>
      <c r="F32" s="6">
        <f>C32*E32</f>
        <v>18000</v>
      </c>
    </row>
    <row r="33">
      <c r="A33" s="10"/>
      <c r="B33" s="10" t="s">
        <v>48</v>
      </c>
      <c r="C33" s="10"/>
      <c r="D33" s="10"/>
      <c r="E33" s="10"/>
      <c r="F33" s="9">
        <f>SUM(F7:F32)</f>
        <v>98614</v>
      </c>
    </row>
    <row r="34">
      <c r="A34" s="10"/>
      <c r="B34" s="10" t="s">
        <v>49</v>
      </c>
      <c r="C34" s="10"/>
      <c r="D34" s="10"/>
      <c r="E34" s="10"/>
      <c r="F34" s="9">
        <f>F33*0.15</f>
        <v>14792.1</v>
      </c>
    </row>
    <row r="35">
      <c r="A35" s="10"/>
      <c r="B35" s="10" t="s">
        <v>50</v>
      </c>
      <c r="C35" s="10"/>
      <c r="D35" s="10"/>
      <c r="E35" s="10"/>
      <c r="F35" s="9">
        <f>F33+F34</f>
        <v>113406.1</v>
      </c>
    </row>
    <row r="36"/>
    <row r="37">
      <c r="A37" s="11" t="s">
        <v>51</v>
      </c>
    </row>
    <row r="38">
      <c r="A38" s="11" t="s">
        <v>52</v>
      </c>
    </row>
    <row r="39">
      <c r="A39" s="11" t="s">
        <v>53</v>
      </c>
    </row>
  </sheetData>
  <mergeCells count="5">
    <mergeCell ref="A1:F1"/>
    <mergeCell ref="A2:F2"/>
    <mergeCell ref="A3:F3"/>
    <mergeCell ref="A7:F7"/>
    <mergeCell ref="A20:F20"/>
  </mergeCells>
  <pageMargins left="0.5" right="0.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2026-10-20T09:00:00Z</dcterms:created>
</cp:coreProperties>
</file>