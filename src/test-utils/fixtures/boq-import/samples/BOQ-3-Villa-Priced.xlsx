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جدول الكميات" sheetId="1" r:id="rId1"/>
  </sheets>
  <calcPr calcId="191029" fullCalcOnLoad="1"/>
</workbook>
</file>

<file path=xl/sharedStrings.xml><?xml version="1.0" encoding="utf-8"?>
<sst xmlns="http://schemas.openxmlformats.org/spreadsheetml/2006/main" count="187" uniqueCount="146">
  <si>
    <t xml:space="preserve">جدول الكميات والأسعار</t>
  </si>
  <si>
    <t xml:space="preserve">مشروع: إنشاء فيلا سكنية (دورين وملحق علوي) — حي النرجس، الرياض</t>
  </si>
  <si>
    <t xml:space="preserve">رقم العقد: 045/2026          التاريخ: 05/04/1448هـ          العملة: ريال سعودي</t>
  </si>
  <si>
    <t xml:space="preserve">رقم البند</t>
  </si>
  <si>
    <t xml:space="preserve">وصف البند</t>
  </si>
  <si>
    <t xml:space="preserve">الوحدة</t>
  </si>
  <si>
    <t xml:space="preserve">الكمية</t>
  </si>
  <si>
    <t xml:space="preserve">سعر الوحدة</t>
  </si>
  <si>
    <t xml:space="preserve">الإجمالي</t>
  </si>
  <si>
    <t xml:space="preserve">1</t>
  </si>
  <si>
    <t xml:space="preserve">أولاً: أعمال الحفر والردم</t>
  </si>
  <si>
    <t xml:space="preserve">1-1</t>
  </si>
  <si>
    <t xml:space="preserve">حفر الموقع حتى منسوب التأسيس المحدد في المخططات في أي نوع من التربة، والسعر يشمل نقل المخلفات خارج الموقع</t>
  </si>
  <si>
    <t xml:space="preserve">م3</t>
  </si>
  <si>
    <t xml:space="preserve">1-2</t>
  </si>
  <si>
    <t xml:space="preserve">ردم بتربة نظيفة مختارة خالية من الشوائب على طبقات لا تزيد عن 25 سم مع الرش بالماء والدك حتى 95%</t>
  </si>
  <si>
    <t xml:space="preserve">1-3</t>
  </si>
  <si>
    <t xml:space="preserve">رش مبيد حشري ضد النمل الأبيض تحت البلاطات الأرضية وحول القواعد والميدات</t>
  </si>
  <si>
    <t xml:space="preserve">م2</t>
  </si>
  <si>
    <t xml:space="preserve">1-4</t>
  </si>
  <si>
    <t xml:space="preserve">توريد وفرد طبقة بولي إيثيلين سماكة 500 ميكرون تحت البلاطات الأرضية</t>
  </si>
  <si>
    <t xml:space="preserve">إجمالي أعمال الحفر والردم</t>
  </si>
  <si>
    <t xml:space="preserve">2</t>
  </si>
  <si>
    <t xml:space="preserve">ثانياً: الأعمال الخرسانية</t>
  </si>
  <si>
    <t xml:space="preserve">2-1</t>
  </si>
  <si>
    <t xml:space="preserve">خرسانة عادية للنظافة تحت القواعد والميدات بسماكة 10 سم وبمقاومة لا تقل عن 150 كجم/سم2</t>
  </si>
  <si>
    <t xml:space="preserve">2-2</t>
  </si>
  <si>
    <t xml:space="preserve">خرسانة مسلحة للقواعد والميدات بمقاومة 350 كجم/سم2 بأسمنت مقاوم للكبريتات، شاملة حديد التسليح والشدات</t>
  </si>
  <si>
    <t xml:space="preserve">2-3</t>
  </si>
  <si>
    <t xml:space="preserve">خرسانة مسلحة للأعمدة والرقاب بمقاومة 350 كجم/سم2</t>
  </si>
  <si>
    <t xml:space="preserve">2-4</t>
  </si>
  <si>
    <t xml:space="preserve">خرسانة مسلحة للأسقف الهوردي والكمرات بمقاومة 300 كجم/سم2</t>
  </si>
  <si>
    <t xml:space="preserve">2-5</t>
  </si>
  <si>
    <t xml:space="preserve">خرسانة مسلحة للسلالم</t>
  </si>
  <si>
    <t xml:space="preserve">2-6</t>
  </si>
  <si>
    <t xml:space="preserve">حديد تسليح عالي المقاومة رتبة 60 مطابق للمواصفات القياسية السعودية لجميع الأقطار</t>
  </si>
  <si>
    <t xml:space="preserve">طن</t>
  </si>
  <si>
    <t xml:space="preserve">2-7</t>
  </si>
  <si>
    <t xml:space="preserve">بلوك هوردي مقاس 20×40×25 سم للأسقف</t>
  </si>
  <si>
    <t xml:space="preserve">عدد</t>
  </si>
  <si>
    <t xml:space="preserve">إجمالي الأعمال الخرسانية</t>
  </si>
  <si>
    <t xml:space="preserve">3</t>
  </si>
  <si>
    <t xml:space="preserve">ثالثاً: أعمال المباني</t>
  </si>
  <si>
    <t xml:space="preserve">3-1</t>
  </si>
  <si>
    <t xml:space="preserve">مباني بلوك أسمنتي مفرغ مقاس 20×20×40 سم للجدران الخارجية بمونة الأسمنت والرمل 1:4</t>
  </si>
  <si>
    <t xml:space="preserve">3-2</t>
  </si>
  <si>
    <t xml:space="preserve">مباني بلوك أسمنتي مفرغ مقاس 15×20×40 سم للجدران الداخلية</t>
  </si>
  <si>
    <t xml:space="preserve">3-3</t>
  </si>
  <si>
    <t xml:space="preserve">مباني بلوك عازل حرارياً سماكة 20 سم للواجهات المعرضة للشمس</t>
  </si>
  <si>
    <t xml:space="preserve">إجمالي أعمال المباني</t>
  </si>
  <si>
    <t xml:space="preserve">4</t>
  </si>
  <si>
    <t xml:space="preserve">رابعاً: أعمال العزل</t>
  </si>
  <si>
    <t xml:space="preserve">4-1</t>
  </si>
  <si>
    <t xml:space="preserve">عزل مائي للقواعد والميدات وجدران البدروم بطبقتين من البيتومين البارد</t>
  </si>
  <si>
    <t xml:space="preserve">4-2</t>
  </si>
  <si>
    <t xml:space="preserve">عزل مائي للحمامات والمطابخ بمادة أسمنتية مرنة على وجهين</t>
  </si>
  <si>
    <t xml:space="preserve">4-3</t>
  </si>
  <si>
    <t xml:space="preserve">عزل مائي للسطح بلفائف بيتومينية معدلة سماكة 4 مم على طبقتين</t>
  </si>
  <si>
    <t xml:space="preserve">4-4</t>
  </si>
  <si>
    <t xml:space="preserve">عزل حراري للسطح بألواح البوليسترين المبثوق سماكة 5 سم وكثافة 32 كجم/م3</t>
  </si>
  <si>
    <t xml:space="preserve">إجمالي أعمال العزل</t>
  </si>
  <si>
    <t xml:space="preserve">5</t>
  </si>
  <si>
    <t xml:space="preserve">خامساً: أعمال اللياسة والدهانات</t>
  </si>
  <si>
    <t xml:space="preserve">5-1</t>
  </si>
  <si>
    <t xml:space="preserve">لياسة داخلية للجدران والأسقف على طبقتين مع الزوايا الحديدية</t>
  </si>
  <si>
    <t xml:space="preserve">5-2</t>
  </si>
  <si>
    <t xml:space="preserve">لياسة خارجية للواجهات مع شبك الفايبر عند الفواصل</t>
  </si>
  <si>
    <t xml:space="preserve">5-3</t>
  </si>
  <si>
    <t xml:space="preserve">دهان داخلي بلاستيك مطفي (جوتن فينوماستك أو ما يعادله) ثلاثة أوجه بعد المعجون</t>
  </si>
  <si>
    <t xml:space="preserve">5-4</t>
  </si>
  <si>
    <t xml:space="preserve">دهان خارجي رشة حبيبات (بروفايل) مع البرايمر</t>
  </si>
  <si>
    <t xml:space="preserve">إجمالي أعمال اللياسة والدهانات</t>
  </si>
  <si>
    <t xml:space="preserve">6</t>
  </si>
  <si>
    <t xml:space="preserve">سادساً: أعمال البلاط والرخام</t>
  </si>
  <si>
    <t xml:space="preserve">6-1</t>
  </si>
  <si>
    <t xml:space="preserve">بلاط بورسلين للأرضيات مقاس 60×60 سم درجة أولى</t>
  </si>
  <si>
    <t xml:space="preserve">6-2</t>
  </si>
  <si>
    <t xml:space="preserve">بلاط سيراميك جدران للحمامات والمطابخ مقاس 30×60 سم حتى السقف</t>
  </si>
  <si>
    <t xml:space="preserve">6-3</t>
  </si>
  <si>
    <t xml:space="preserve">رخام للدرج (نائمة وقائمة) سماكة 3 سم</t>
  </si>
  <si>
    <t xml:space="preserve">م.ط</t>
  </si>
  <si>
    <t xml:space="preserve">6-4</t>
  </si>
  <si>
    <t xml:space="preserve">وزرة رخام ارتفاع 10 سم</t>
  </si>
  <si>
    <t xml:space="preserve">6-5</t>
  </si>
  <si>
    <t xml:space="preserve">جرانيت لأسطح مغاسل المطبخ والحمامات سماكة 3 سم</t>
  </si>
  <si>
    <t xml:space="preserve">إجمالي أعمال البلاط والرخام</t>
  </si>
  <si>
    <t xml:space="preserve">7</t>
  </si>
  <si>
    <t xml:space="preserve">سابعاً: الأبواب والنوافذ</t>
  </si>
  <si>
    <t xml:space="preserve">7-1</t>
  </si>
  <si>
    <t xml:space="preserve">أبواب داخلية WPC مقاس 90×220 سم كاملة بالحلق والمفصلات والكالون</t>
  </si>
  <si>
    <t xml:space="preserve">7-2</t>
  </si>
  <si>
    <t xml:space="preserve">باب مدخل رئيسي حديد مشغول مقاس 180×300 سم</t>
  </si>
  <si>
    <t xml:space="preserve">7-3</t>
  </si>
  <si>
    <t xml:space="preserve">نوافذ ألمنيوم سحاب بزجاج مزدوج عاكس 6 مم مع الشبك</t>
  </si>
  <si>
    <t xml:space="preserve">إجمالي الأبواب والنوافذ</t>
  </si>
  <si>
    <t xml:space="preserve">8</t>
  </si>
  <si>
    <t xml:space="preserve">ثامناً: الأعمال الصحية</t>
  </si>
  <si>
    <t xml:space="preserve">8-1</t>
  </si>
  <si>
    <t xml:space="preserve">مواسير تغذية مياه بي بي آر (PPR) قطر 25 مم شاملة القطع والوصلات</t>
  </si>
  <si>
    <t xml:space="preserve">8-2</t>
  </si>
  <si>
    <t xml:space="preserve">مواسير صرف يو بي في سي (UPVC) قطر 4 بوصة</t>
  </si>
  <si>
    <t xml:space="preserve">8-3</t>
  </si>
  <si>
    <t xml:space="preserve">مغسلة حوض بقاعدة مع الخلاط والسيفون</t>
  </si>
  <si>
    <t xml:space="preserve">8-4</t>
  </si>
  <si>
    <t xml:space="preserve">كرسي إفرنجي معلق مع الخزان المدفون</t>
  </si>
  <si>
    <t xml:space="preserve">8-5</t>
  </si>
  <si>
    <t xml:space="preserve">شطاف يدوي</t>
  </si>
  <si>
    <t xml:space="preserve">8-6</t>
  </si>
  <si>
    <t xml:space="preserve">سخان مياه كهربائي سعة 50 لتر</t>
  </si>
  <si>
    <t xml:space="preserve">8-7</t>
  </si>
  <si>
    <t xml:space="preserve">مضخة مياه مقوية 1 حصان</t>
  </si>
  <si>
    <t xml:space="preserve">8-8</t>
  </si>
  <si>
    <t xml:space="preserve">خزان مياه علوي بولي إيثيلين سعة 2000 لتر</t>
  </si>
  <si>
    <t xml:space="preserve">8-9</t>
  </si>
  <si>
    <t xml:space="preserve">خزان مياه أرضي خرساني سعة 30 م3 شامل العزل</t>
  </si>
  <si>
    <t xml:space="preserve">مقطوع</t>
  </si>
  <si>
    <t xml:space="preserve">إجمالي الأعمال الصحية</t>
  </si>
  <si>
    <t xml:space="preserve">9</t>
  </si>
  <si>
    <t xml:space="preserve">تاسعاً: الأعمال الكهربائية</t>
  </si>
  <si>
    <t xml:space="preserve">9-1</t>
  </si>
  <si>
    <t xml:space="preserve">تمديدات نقاط الإنارة شاملة المواسير والأسلاك والعلب</t>
  </si>
  <si>
    <t xml:space="preserve">نقطة</t>
  </si>
  <si>
    <t xml:space="preserve">9-2</t>
  </si>
  <si>
    <t xml:space="preserve">أفياش كهرباء مزدوجة 13 أمبير</t>
  </si>
  <si>
    <t xml:space="preserve">9-3</t>
  </si>
  <si>
    <t xml:space="preserve">مفاتيح إنارة</t>
  </si>
  <si>
    <t xml:space="preserve">9-4</t>
  </si>
  <si>
    <t xml:space="preserve">كيبل نحاس 4×16 مم2 من العداد إلى اللوحة الرئيسية</t>
  </si>
  <si>
    <t xml:space="preserve">9-5</t>
  </si>
  <si>
    <t xml:space="preserve">لوحة توزيع فرعية 24 خط مع القواطع</t>
  </si>
  <si>
    <t xml:space="preserve">9-6</t>
  </si>
  <si>
    <t xml:space="preserve">كشافات سبوت لايت LED قدرة 12 واط</t>
  </si>
  <si>
    <t xml:space="preserve">إجمالي الأعمال الكهربائية</t>
  </si>
  <si>
    <t xml:space="preserve">10</t>
  </si>
  <si>
    <t xml:space="preserve">عاشراً: أعمال التكييف</t>
  </si>
  <si>
    <t xml:space="preserve">10-1</t>
  </si>
  <si>
    <t xml:space="preserve">مكيف سبليت جداري 18000 وحدة حرارية بارد</t>
  </si>
  <si>
    <t xml:space="preserve">10-2</t>
  </si>
  <si>
    <t xml:space="preserve">مكيف سبليت جداري 24000 وحدة حرارية بارد</t>
  </si>
  <si>
    <t xml:space="preserve">10-3</t>
  </si>
  <si>
    <t xml:space="preserve">مواسير نحاس للمكيفات معزولة مقاس 3/8 × 5/8 بوصة</t>
  </si>
  <si>
    <t xml:space="preserve">إجمالي أعمال التكييف</t>
  </si>
  <si>
    <t xml:space="preserve">إجمالي قيمة الأعمال قبل الضريبة</t>
  </si>
  <si>
    <t xml:space="preserve">ضريبة القيمة المضافة 15%</t>
  </si>
  <si>
    <t xml:space="preserve">الإجمالي شامل ضريبة القيمة المضافة</t>
  </si>
  <si>
    <t xml:space="preserve">اسم المقاول: ........................          التوقيع: ................          الختم:</t>
  </si>
</sst>
</file>

<file path=xl/styles.xml><?xml version="1.0" encoding="utf-8"?>
<styleSheet xmlns="http://schemas.openxmlformats.org/spreadsheetml/2006/main">
  <fonts count="5"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i/>
      <sz val="10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  <xf numFmtId="4" fontId="0" fillId="0" borderId="1" xfId="0" applyNumberFormat="1" applyBorder="1" applyAlignment="1">
      <alignment vertical="top"/>
    </xf>
    <xf numFmtId="3" fontId="0" fillId="0" borderId="1" xfId="0" applyNumberFormat="1" applyBorder="1" applyAlignment="1">
      <alignment horizontal="center" vertical="top"/>
    </xf>
    <xf numFmtId="0" fontId="1" fillId="3" borderId="1" xfId="0" applyFont="1" applyFill="1" applyBorder="1"/>
    <xf numFmtId="4" fontId="1" fillId="3" borderId="1" xfId="0" applyNumberFormat="1" applyFont="1" applyFill="1" applyBorder="1"/>
    <xf numFmtId="0" fontId="1" fillId="3" borderId="1" xfId="0" applyFont="1" applyFill="1" applyBorder="1"/>
    <xf numFmtId="0" fontId="3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9"/>
  <sheetViews>
    <sheetView rightToLeft="1" workbookViewId="0">
      <pane ySplit="5" topLeftCell="A6" activePane="bottomLeft" state="frozen"/>
    </sheetView>
  </sheetViews>
  <sheetFormatPr defaultRowHeight="12.75"/>
  <cols>
    <col min="1" max="1" width="9" customWidth="1"/>
    <col min="2" max="2" width="62" customWidth="1"/>
    <col min="3" max="3" width="9" customWidth="1"/>
    <col min="4" max="4" width="10" customWidth="1"/>
    <col min="5" max="5" width="14" customWidth="1"/>
    <col min="6" max="6" width="17" customWidth="1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/>
    <row r="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>
      <c r="A6" s="8" t="s">
        <v>9</v>
      </c>
      <c r="B6" s="8" t="s">
        <v>10</v>
      </c>
      <c r="C6" s="8"/>
      <c r="D6" s="8"/>
      <c r="E6" s="8"/>
      <c r="F6" s="8"/>
    </row>
    <row r="7">
      <c r="A7" s="5" t="s">
        <v>11</v>
      </c>
      <c r="B7" s="4" t="s">
        <v>12</v>
      </c>
      <c r="C7" s="5" t="s">
        <v>13</v>
      </c>
      <c r="D7" s="7">
        <v>450</v>
      </c>
      <c r="E7" s="6">
        <v>18</v>
      </c>
      <c r="F7" s="6">
        <f>D7*E7</f>
        <v>8100</v>
      </c>
    </row>
    <row r="8">
      <c r="A8" s="5" t="s">
        <v>14</v>
      </c>
      <c r="B8" s="4" t="s">
        <v>15</v>
      </c>
      <c r="C8" s="5" t="s">
        <v>13</v>
      </c>
      <c r="D8" s="7">
        <v>320</v>
      </c>
      <c r="E8" s="6">
        <v>35</v>
      </c>
      <c r="F8" s="6">
        <f>D8*E8</f>
        <v>11200</v>
      </c>
    </row>
    <row r="9">
      <c r="A9" s="5" t="s">
        <v>16</v>
      </c>
      <c r="B9" s="4" t="s">
        <v>17</v>
      </c>
      <c r="C9" s="5" t="s">
        <v>18</v>
      </c>
      <c r="D9" s="7">
        <v>380</v>
      </c>
      <c r="E9" s="6">
        <v>8</v>
      </c>
      <c r="F9" s="6">
        <f>D9*E9</f>
        <v>3040</v>
      </c>
    </row>
    <row r="10">
      <c r="A10" s="5" t="s">
        <v>19</v>
      </c>
      <c r="B10" s="4" t="s">
        <v>20</v>
      </c>
      <c r="C10" s="5" t="s">
        <v>18</v>
      </c>
      <c r="D10" s="7">
        <v>380</v>
      </c>
      <c r="E10" s="6">
        <v>4</v>
      </c>
      <c r="F10" s="6">
        <f>D10*E10</f>
        <v>1520</v>
      </c>
    </row>
    <row r="11">
      <c r="A11" s="10"/>
      <c r="B11" s="10" t="s">
        <v>21</v>
      </c>
      <c r="C11" s="10"/>
      <c r="D11" s="10"/>
      <c r="E11" s="10"/>
      <c r="F11" s="9">
        <f>SUM(F7:F10)</f>
        <v>23860</v>
      </c>
    </row>
    <row r="12">
      <c r="A12" s="8" t="s">
        <v>22</v>
      </c>
      <c r="B12" s="8" t="s">
        <v>23</v>
      </c>
      <c r="C12" s="8"/>
      <c r="D12" s="8"/>
      <c r="E12" s="8"/>
      <c r="F12" s="8"/>
    </row>
    <row r="13">
      <c r="A13" s="5" t="s">
        <v>24</v>
      </c>
      <c r="B13" s="4" t="s">
        <v>25</v>
      </c>
      <c r="C13" s="5" t="s">
        <v>13</v>
      </c>
      <c r="D13" s="7">
        <v>22</v>
      </c>
      <c r="E13" s="6">
        <v>230</v>
      </c>
      <c r="F13" s="6">
        <f>D13*E13</f>
        <v>5060</v>
      </c>
    </row>
    <row r="14">
      <c r="A14" s="5" t="s">
        <v>26</v>
      </c>
      <c r="B14" s="4" t="s">
        <v>27</v>
      </c>
      <c r="C14" s="5" t="s">
        <v>13</v>
      </c>
      <c r="D14" s="7">
        <v>110</v>
      </c>
      <c r="E14" s="6">
        <v>950</v>
      </c>
      <c r="F14" s="6">
        <f>D14*E14</f>
        <v>104500</v>
      </c>
    </row>
    <row r="15">
      <c r="A15" s="5" t="s">
        <v>28</v>
      </c>
      <c r="B15" s="4" t="s">
        <v>29</v>
      </c>
      <c r="C15" s="5" t="s">
        <v>13</v>
      </c>
      <c r="D15" s="7">
        <v>32</v>
      </c>
      <c r="E15" s="6">
        <v>1100</v>
      </c>
      <c r="F15" s="6">
        <f>D15*E15</f>
        <v>35200</v>
      </c>
    </row>
    <row r="16">
      <c r="A16" s="5" t="s">
        <v>30</v>
      </c>
      <c r="B16" s="4" t="s">
        <v>31</v>
      </c>
      <c r="C16" s="5" t="s">
        <v>13</v>
      </c>
      <c r="D16" s="7">
        <v>165</v>
      </c>
      <c r="E16" s="6">
        <v>980</v>
      </c>
      <c r="F16" s="6">
        <f>D16*E16</f>
        <v>161700</v>
      </c>
    </row>
    <row r="17">
      <c r="A17" s="5" t="s">
        <v>32</v>
      </c>
      <c r="B17" s="4" t="s">
        <v>33</v>
      </c>
      <c r="C17" s="5" t="s">
        <v>13</v>
      </c>
      <c r="D17" s="7">
        <v>11</v>
      </c>
      <c r="E17" s="6">
        <v>1150</v>
      </c>
      <c r="F17" s="6">
        <f>D17*E17</f>
        <v>12650</v>
      </c>
    </row>
    <row r="18">
      <c r="A18" s="5" t="s">
        <v>34</v>
      </c>
      <c r="B18" s="4" t="s">
        <v>35</v>
      </c>
      <c r="C18" s="5" t="s">
        <v>36</v>
      </c>
      <c r="D18" s="7">
        <v>42</v>
      </c>
      <c r="E18" s="6">
        <v>3100</v>
      </c>
      <c r="F18" s="6">
        <f>D18*E18</f>
        <v>130200</v>
      </c>
    </row>
    <row r="19">
      <c r="A19" s="5" t="s">
        <v>37</v>
      </c>
      <c r="B19" s="4" t="s">
        <v>38</v>
      </c>
      <c r="C19" s="5" t="s">
        <v>39</v>
      </c>
      <c r="D19" s="7">
        <v>2800</v>
      </c>
      <c r="E19" s="6">
        <v>4.5</v>
      </c>
      <c r="F19" s="6">
        <f>D19*E19</f>
        <v>12600</v>
      </c>
    </row>
    <row r="20">
      <c r="A20" s="10"/>
      <c r="B20" s="10" t="s">
        <v>40</v>
      </c>
      <c r="C20" s="10"/>
      <c r="D20" s="10"/>
      <c r="E20" s="10"/>
      <c r="F20" s="9">
        <f>SUM(F13:F19)</f>
        <v>461910</v>
      </c>
    </row>
    <row r="21">
      <c r="A21" s="8" t="s">
        <v>41</v>
      </c>
      <c r="B21" s="8" t="s">
        <v>42</v>
      </c>
      <c r="C21" s="8"/>
      <c r="D21" s="8"/>
      <c r="E21" s="8"/>
      <c r="F21" s="8"/>
    </row>
    <row r="22">
      <c r="A22" s="5" t="s">
        <v>43</v>
      </c>
      <c r="B22" s="4" t="s">
        <v>44</v>
      </c>
      <c r="C22" s="5" t="s">
        <v>18</v>
      </c>
      <c r="D22" s="7">
        <v>690</v>
      </c>
      <c r="E22" s="6">
        <v>65</v>
      </c>
      <c r="F22" s="6">
        <f>D22*E22</f>
        <v>44850</v>
      </c>
    </row>
    <row r="23">
      <c r="A23" s="5" t="s">
        <v>45</v>
      </c>
      <c r="B23" s="4" t="s">
        <v>46</v>
      </c>
      <c r="C23" s="5" t="s">
        <v>18</v>
      </c>
      <c r="D23" s="7">
        <v>540</v>
      </c>
      <c r="E23" s="6">
        <v>55</v>
      </c>
      <c r="F23" s="6">
        <f>D23*E23</f>
        <v>29700</v>
      </c>
    </row>
    <row r="24">
      <c r="A24" s="5" t="s">
        <v>47</v>
      </c>
      <c r="B24" s="4" t="s">
        <v>48</v>
      </c>
      <c r="C24" s="5" t="s">
        <v>18</v>
      </c>
      <c r="D24" s="7">
        <v>230</v>
      </c>
      <c r="E24" s="6">
        <v>95</v>
      </c>
      <c r="F24" s="6">
        <f>D24*E24</f>
        <v>21850</v>
      </c>
    </row>
    <row r="25">
      <c r="A25" s="10"/>
      <c r="B25" s="10" t="s">
        <v>49</v>
      </c>
      <c r="C25" s="10"/>
      <c r="D25" s="10"/>
      <c r="E25" s="10"/>
      <c r="F25" s="9">
        <f>SUM(F22:F24)</f>
        <v>96400</v>
      </c>
    </row>
    <row r="26">
      <c r="A26" s="8" t="s">
        <v>50</v>
      </c>
      <c r="B26" s="8" t="s">
        <v>51</v>
      </c>
      <c r="C26" s="8"/>
      <c r="D26" s="8"/>
      <c r="E26" s="8"/>
      <c r="F26" s="8"/>
    </row>
    <row r="27">
      <c r="A27" s="5" t="s">
        <v>52</v>
      </c>
      <c r="B27" s="4" t="s">
        <v>53</v>
      </c>
      <c r="C27" s="5" t="s">
        <v>18</v>
      </c>
      <c r="D27" s="7">
        <v>520</v>
      </c>
      <c r="E27" s="6">
        <v>14</v>
      </c>
      <c r="F27" s="6">
        <f>D27*E27</f>
        <v>7280</v>
      </c>
    </row>
    <row r="28">
      <c r="A28" s="5" t="s">
        <v>54</v>
      </c>
      <c r="B28" s="4" t="s">
        <v>55</v>
      </c>
      <c r="C28" s="5" t="s">
        <v>18</v>
      </c>
      <c r="D28" s="7">
        <v>180</v>
      </c>
      <c r="E28" s="6">
        <v>38</v>
      </c>
      <c r="F28" s="6">
        <f>D28*E28</f>
        <v>6840</v>
      </c>
    </row>
    <row r="29">
      <c r="A29" s="5" t="s">
        <v>56</v>
      </c>
      <c r="B29" s="4" t="s">
        <v>57</v>
      </c>
      <c r="C29" s="5" t="s">
        <v>18</v>
      </c>
      <c r="D29" s="7">
        <v>330</v>
      </c>
      <c r="E29" s="6">
        <v>42</v>
      </c>
      <c r="F29" s="6">
        <f>D29*E29</f>
        <v>13860</v>
      </c>
    </row>
    <row r="30">
      <c r="A30" s="5" t="s">
        <v>58</v>
      </c>
      <c r="B30" s="4" t="s">
        <v>59</v>
      </c>
      <c r="C30" s="5" t="s">
        <v>18</v>
      </c>
      <c r="D30" s="7">
        <v>330</v>
      </c>
      <c r="E30" s="6">
        <v>28</v>
      </c>
      <c r="F30" s="6">
        <f>D30*E30</f>
        <v>9240</v>
      </c>
    </row>
    <row r="31">
      <c r="A31" s="10"/>
      <c r="B31" s="10" t="s">
        <v>60</v>
      </c>
      <c r="C31" s="10"/>
      <c r="D31" s="10"/>
      <c r="E31" s="10"/>
      <c r="F31" s="9">
        <f>SUM(F27:F30)</f>
        <v>37220</v>
      </c>
    </row>
    <row r="32">
      <c r="A32" s="8" t="s">
        <v>61</v>
      </c>
      <c r="B32" s="8" t="s">
        <v>62</v>
      </c>
      <c r="C32" s="8"/>
      <c r="D32" s="8"/>
      <c r="E32" s="8"/>
      <c r="F32" s="8"/>
    </row>
    <row r="33">
      <c r="A33" s="5" t="s">
        <v>63</v>
      </c>
      <c r="B33" s="4" t="s">
        <v>64</v>
      </c>
      <c r="C33" s="5" t="s">
        <v>18</v>
      </c>
      <c r="D33" s="7">
        <v>2300</v>
      </c>
      <c r="E33" s="6">
        <v>22</v>
      </c>
      <c r="F33" s="6">
        <f>D33*E33</f>
        <v>50600</v>
      </c>
    </row>
    <row r="34">
      <c r="A34" s="5" t="s">
        <v>65</v>
      </c>
      <c r="B34" s="4" t="s">
        <v>66</v>
      </c>
      <c r="C34" s="5" t="s">
        <v>18</v>
      </c>
      <c r="D34" s="7">
        <v>1050</v>
      </c>
      <c r="E34" s="6">
        <v>28</v>
      </c>
      <c r="F34" s="6">
        <f>D34*E34</f>
        <v>29400</v>
      </c>
    </row>
    <row r="35">
      <c r="A35" s="5" t="s">
        <v>67</v>
      </c>
      <c r="B35" s="4" t="s">
        <v>68</v>
      </c>
      <c r="C35" s="5" t="s">
        <v>18</v>
      </c>
      <c r="D35" s="7">
        <v>2300</v>
      </c>
      <c r="E35" s="6">
        <v>18</v>
      </c>
      <c r="F35" s="6">
        <f>D35*E35</f>
        <v>41400</v>
      </c>
    </row>
    <row r="36">
      <c r="A36" s="5" t="s">
        <v>69</v>
      </c>
      <c r="B36" s="4" t="s">
        <v>70</v>
      </c>
      <c r="C36" s="5" t="s">
        <v>18</v>
      </c>
      <c r="D36" s="7">
        <v>1050</v>
      </c>
      <c r="E36" s="6">
        <v>30</v>
      </c>
      <c r="F36" s="6">
        <f>D36*E36</f>
        <v>31500</v>
      </c>
    </row>
    <row r="37">
      <c r="A37" s="10"/>
      <c r="B37" s="10" t="s">
        <v>71</v>
      </c>
      <c r="C37" s="10"/>
      <c r="D37" s="10"/>
      <c r="E37" s="10"/>
      <c r="F37" s="9">
        <f>SUM(F33:F36)</f>
        <v>152900</v>
      </c>
    </row>
    <row r="38">
      <c r="A38" s="8" t="s">
        <v>72</v>
      </c>
      <c r="B38" s="8" t="s">
        <v>73</v>
      </c>
      <c r="C38" s="8"/>
      <c r="D38" s="8"/>
      <c r="E38" s="8"/>
      <c r="F38" s="8"/>
    </row>
    <row r="39">
      <c r="A39" s="5" t="s">
        <v>74</v>
      </c>
      <c r="B39" s="4" t="s">
        <v>75</v>
      </c>
      <c r="C39" s="5" t="s">
        <v>18</v>
      </c>
      <c r="D39" s="7">
        <v>460</v>
      </c>
      <c r="E39" s="6">
        <v>85</v>
      </c>
      <c r="F39" s="6">
        <f>D39*E39</f>
        <v>39100</v>
      </c>
    </row>
    <row r="40">
      <c r="A40" s="5" t="s">
        <v>76</v>
      </c>
      <c r="B40" s="4" t="s">
        <v>77</v>
      </c>
      <c r="C40" s="5" t="s">
        <v>18</v>
      </c>
      <c r="D40" s="7">
        <v>280</v>
      </c>
      <c r="E40" s="6">
        <v>60</v>
      </c>
      <c r="F40" s="6">
        <f>D40*E40</f>
        <v>16800</v>
      </c>
    </row>
    <row r="41">
      <c r="A41" s="5" t="s">
        <v>78</v>
      </c>
      <c r="B41" s="4" t="s">
        <v>79</v>
      </c>
      <c r="C41" s="5" t="s">
        <v>80</v>
      </c>
      <c r="D41" s="7">
        <v>90</v>
      </c>
      <c r="E41" s="6">
        <v>180</v>
      </c>
      <c r="F41" s="6">
        <f>D41*E41</f>
        <v>16200</v>
      </c>
    </row>
    <row r="42">
      <c r="A42" s="5" t="s">
        <v>81</v>
      </c>
      <c r="B42" s="4" t="s">
        <v>82</v>
      </c>
      <c r="C42" s="5" t="s">
        <v>80</v>
      </c>
      <c r="D42" s="7">
        <v>410</v>
      </c>
      <c r="E42" s="6">
        <v>25</v>
      </c>
      <c r="F42" s="6">
        <f>D42*E42</f>
        <v>10250</v>
      </c>
    </row>
    <row r="43">
      <c r="A43" s="5" t="s">
        <v>83</v>
      </c>
      <c r="B43" s="4" t="s">
        <v>84</v>
      </c>
      <c r="C43" s="5" t="s">
        <v>18</v>
      </c>
      <c r="D43" s="7">
        <v>12</v>
      </c>
      <c r="E43" s="6">
        <v>450</v>
      </c>
      <c r="F43" s="6">
        <f>D43*E43</f>
        <v>5400</v>
      </c>
    </row>
    <row r="44">
      <c r="A44" s="10"/>
      <c r="B44" s="10" t="s">
        <v>85</v>
      </c>
      <c r="C44" s="10"/>
      <c r="D44" s="10"/>
      <c r="E44" s="10"/>
      <c r="F44" s="9">
        <f>SUM(F39:F43)</f>
        <v>87750</v>
      </c>
    </row>
    <row r="45">
      <c r="A45" s="8" t="s">
        <v>86</v>
      </c>
      <c r="B45" s="8" t="s">
        <v>87</v>
      </c>
      <c r="C45" s="8"/>
      <c r="D45" s="8"/>
      <c r="E45" s="8"/>
      <c r="F45" s="8"/>
    </row>
    <row r="46">
      <c r="A46" s="5" t="s">
        <v>88</v>
      </c>
      <c r="B46" s="4" t="s">
        <v>89</v>
      </c>
      <c r="C46" s="5" t="s">
        <v>39</v>
      </c>
      <c r="D46" s="7">
        <v>18</v>
      </c>
      <c r="E46" s="6">
        <v>1100</v>
      </c>
      <c r="F46" s="6">
        <f>D46*E46</f>
        <v>19800</v>
      </c>
    </row>
    <row r="47">
      <c r="A47" s="5" t="s">
        <v>90</v>
      </c>
      <c r="B47" s="4" t="s">
        <v>91</v>
      </c>
      <c r="C47" s="5" t="s">
        <v>39</v>
      </c>
      <c r="D47" s="7">
        <v>1</v>
      </c>
      <c r="E47" s="6">
        <v>9500</v>
      </c>
      <c r="F47" s="6">
        <f>D47*E47</f>
        <v>9500</v>
      </c>
    </row>
    <row r="48">
      <c r="A48" s="5" t="s">
        <v>92</v>
      </c>
      <c r="B48" s="4" t="s">
        <v>93</v>
      </c>
      <c r="C48" s="5" t="s">
        <v>18</v>
      </c>
      <c r="D48" s="7">
        <v>48</v>
      </c>
      <c r="E48" s="6">
        <v>650</v>
      </c>
      <c r="F48" s="6">
        <f>D48*E48</f>
        <v>31200</v>
      </c>
    </row>
    <row r="49">
      <c r="A49" s="10"/>
      <c r="B49" s="10" t="s">
        <v>94</v>
      </c>
      <c r="C49" s="10"/>
      <c r="D49" s="10"/>
      <c r="E49" s="10"/>
      <c r="F49" s="9">
        <f>SUM(F46:F48)</f>
        <v>60500</v>
      </c>
    </row>
    <row r="50">
      <c r="A50" s="8" t="s">
        <v>95</v>
      </c>
      <c r="B50" s="8" t="s">
        <v>96</v>
      </c>
      <c r="C50" s="8"/>
      <c r="D50" s="8"/>
      <c r="E50" s="8"/>
      <c r="F50" s="8"/>
    </row>
    <row r="51">
      <c r="A51" s="5" t="s">
        <v>97</v>
      </c>
      <c r="B51" s="4" t="s">
        <v>98</v>
      </c>
      <c r="C51" s="5" t="s">
        <v>80</v>
      </c>
      <c r="D51" s="7">
        <v>280</v>
      </c>
      <c r="E51" s="6">
        <v>22</v>
      </c>
      <c r="F51" s="6">
        <f>D51*E51</f>
        <v>6160</v>
      </c>
    </row>
    <row r="52">
      <c r="A52" s="5" t="s">
        <v>99</v>
      </c>
      <c r="B52" s="4" t="s">
        <v>100</v>
      </c>
      <c r="C52" s="5" t="s">
        <v>80</v>
      </c>
      <c r="D52" s="7">
        <v>150</v>
      </c>
      <c r="E52" s="6">
        <v>35</v>
      </c>
      <c r="F52" s="6">
        <f>D52*E52</f>
        <v>5250</v>
      </c>
    </row>
    <row r="53">
      <c r="A53" s="5" t="s">
        <v>101</v>
      </c>
      <c r="B53" s="4" t="s">
        <v>102</v>
      </c>
      <c r="C53" s="5" t="s">
        <v>39</v>
      </c>
      <c r="D53" s="7">
        <v>7</v>
      </c>
      <c r="E53" s="6">
        <v>650</v>
      </c>
      <c r="F53" s="6">
        <f>D53*E53</f>
        <v>4550</v>
      </c>
    </row>
    <row r="54">
      <c r="A54" s="5" t="s">
        <v>103</v>
      </c>
      <c r="B54" s="4" t="s">
        <v>104</v>
      </c>
      <c r="C54" s="5" t="s">
        <v>39</v>
      </c>
      <c r="D54" s="7">
        <v>6</v>
      </c>
      <c r="E54" s="6">
        <v>1400</v>
      </c>
      <c r="F54" s="6">
        <f>D54*E54</f>
        <v>8400</v>
      </c>
    </row>
    <row r="55">
      <c r="A55" s="5" t="s">
        <v>105</v>
      </c>
      <c r="B55" s="4" t="s">
        <v>106</v>
      </c>
      <c r="C55" s="5" t="s">
        <v>39</v>
      </c>
      <c r="D55" s="7">
        <v>6</v>
      </c>
      <c r="E55" s="6">
        <v>85</v>
      </c>
      <c r="F55" s="6">
        <f>D55*E55</f>
        <v>510</v>
      </c>
    </row>
    <row r="56">
      <c r="A56" s="5" t="s">
        <v>107</v>
      </c>
      <c r="B56" s="4" t="s">
        <v>108</v>
      </c>
      <c r="C56" s="5" t="s">
        <v>39</v>
      </c>
      <c r="D56" s="7">
        <v>5</v>
      </c>
      <c r="E56" s="6">
        <v>750</v>
      </c>
      <c r="F56" s="6">
        <f>D56*E56</f>
        <v>3750</v>
      </c>
    </row>
    <row r="57">
      <c r="A57" s="5" t="s">
        <v>109</v>
      </c>
      <c r="B57" s="4" t="s">
        <v>110</v>
      </c>
      <c r="C57" s="5" t="s">
        <v>39</v>
      </c>
      <c r="D57" s="7">
        <v>1</v>
      </c>
      <c r="E57" s="6">
        <v>1600</v>
      </c>
      <c r="F57" s="6">
        <f>D57*E57</f>
        <v>1600</v>
      </c>
    </row>
    <row r="58">
      <c r="A58" s="5" t="s">
        <v>111</v>
      </c>
      <c r="B58" s="4" t="s">
        <v>112</v>
      </c>
      <c r="C58" s="5" t="s">
        <v>39</v>
      </c>
      <c r="D58" s="7">
        <v>2</v>
      </c>
      <c r="E58" s="6">
        <v>1200</v>
      </c>
      <c r="F58" s="6">
        <f>D58*E58</f>
        <v>2400</v>
      </c>
    </row>
    <row r="59">
      <c r="A59" s="5" t="s">
        <v>113</v>
      </c>
      <c r="B59" s="4" t="s">
        <v>114</v>
      </c>
      <c r="C59" s="5" t="s">
        <v>115</v>
      </c>
      <c r="D59" s="7">
        <v>1</v>
      </c>
      <c r="E59" s="6">
        <v>28000</v>
      </c>
      <c r="F59" s="6">
        <f>D59*E59</f>
        <v>28000</v>
      </c>
    </row>
    <row r="60">
      <c r="A60" s="10"/>
      <c r="B60" s="10" t="s">
        <v>116</v>
      </c>
      <c r="C60" s="10"/>
      <c r="D60" s="10"/>
      <c r="E60" s="10"/>
      <c r="F60" s="9">
        <f>SUM(F51:F59)</f>
        <v>60620</v>
      </c>
    </row>
    <row r="61">
      <c r="A61" s="8" t="s">
        <v>117</v>
      </c>
      <c r="B61" s="8" t="s">
        <v>118</v>
      </c>
      <c r="C61" s="8"/>
      <c r="D61" s="8"/>
      <c r="E61" s="8"/>
      <c r="F61" s="8"/>
    </row>
    <row r="62">
      <c r="A62" s="5" t="s">
        <v>119</v>
      </c>
      <c r="B62" s="4" t="s">
        <v>120</v>
      </c>
      <c r="C62" s="5" t="s">
        <v>121</v>
      </c>
      <c r="D62" s="7">
        <v>130</v>
      </c>
      <c r="E62" s="6">
        <v>95</v>
      </c>
      <c r="F62" s="6">
        <f>D62*E62</f>
        <v>12350</v>
      </c>
    </row>
    <row r="63">
      <c r="A63" s="5" t="s">
        <v>122</v>
      </c>
      <c r="B63" s="4" t="s">
        <v>123</v>
      </c>
      <c r="C63" s="5" t="s">
        <v>39</v>
      </c>
      <c r="D63" s="7">
        <v>90</v>
      </c>
      <c r="E63" s="6">
        <v>45</v>
      </c>
      <c r="F63" s="6">
        <f>D63*E63</f>
        <v>4050</v>
      </c>
    </row>
    <row r="64">
      <c r="A64" s="5" t="s">
        <v>124</v>
      </c>
      <c r="B64" s="4" t="s">
        <v>125</v>
      </c>
      <c r="C64" s="5" t="s">
        <v>39</v>
      </c>
      <c r="D64" s="7">
        <v>60</v>
      </c>
      <c r="E64" s="6">
        <v>30</v>
      </c>
      <c r="F64" s="6">
        <f>D64*E64</f>
        <v>1800</v>
      </c>
    </row>
    <row r="65">
      <c r="A65" s="5" t="s">
        <v>126</v>
      </c>
      <c r="B65" s="4" t="s">
        <v>127</v>
      </c>
      <c r="C65" s="5" t="s">
        <v>80</v>
      </c>
      <c r="D65" s="7">
        <v>45</v>
      </c>
      <c r="E65" s="6">
        <v>120</v>
      </c>
      <c r="F65" s="6">
        <f>D65*E65</f>
        <v>5400</v>
      </c>
    </row>
    <row r="66">
      <c r="A66" s="5" t="s">
        <v>128</v>
      </c>
      <c r="B66" s="4" t="s">
        <v>129</v>
      </c>
      <c r="C66" s="5" t="s">
        <v>39</v>
      </c>
      <c r="D66" s="7">
        <v>3</v>
      </c>
      <c r="E66" s="6">
        <v>1800</v>
      </c>
      <c r="F66" s="6">
        <f>D66*E66</f>
        <v>5400</v>
      </c>
    </row>
    <row r="67">
      <c r="A67" s="5" t="s">
        <v>130</v>
      </c>
      <c r="B67" s="4" t="s">
        <v>131</v>
      </c>
      <c r="C67" s="5" t="s">
        <v>39</v>
      </c>
      <c r="D67" s="7">
        <v>140</v>
      </c>
      <c r="E67" s="6">
        <v>45</v>
      </c>
      <c r="F67" s="6">
        <f>D67*E67</f>
        <v>6300</v>
      </c>
    </row>
    <row r="68">
      <c r="A68" s="10"/>
      <c r="B68" s="10" t="s">
        <v>132</v>
      </c>
      <c r="C68" s="10"/>
      <c r="D68" s="10"/>
      <c r="E68" s="10"/>
      <c r="F68" s="9">
        <f>SUM(F62:F67)</f>
        <v>35300</v>
      </c>
    </row>
    <row r="69">
      <c r="A69" s="8" t="s">
        <v>133</v>
      </c>
      <c r="B69" s="8" t="s">
        <v>134</v>
      </c>
      <c r="C69" s="8"/>
      <c r="D69" s="8"/>
      <c r="E69" s="8"/>
      <c r="F69" s="8"/>
    </row>
    <row r="70">
      <c r="A70" s="5" t="s">
        <v>135</v>
      </c>
      <c r="B70" s="4" t="s">
        <v>136</v>
      </c>
      <c r="C70" s="5" t="s">
        <v>39</v>
      </c>
      <c r="D70" s="7">
        <v>8</v>
      </c>
      <c r="E70" s="6">
        <v>2600</v>
      </c>
      <c r="F70" s="6">
        <f>D70*E70</f>
        <v>20800</v>
      </c>
    </row>
    <row r="71">
      <c r="A71" s="5" t="s">
        <v>137</v>
      </c>
      <c r="B71" s="4" t="s">
        <v>138</v>
      </c>
      <c r="C71" s="5" t="s">
        <v>39</v>
      </c>
      <c r="D71" s="7">
        <v>4</v>
      </c>
      <c r="E71" s="6">
        <v>3300</v>
      </c>
      <c r="F71" s="6">
        <f>D71*E71</f>
        <v>13200</v>
      </c>
    </row>
    <row r="72">
      <c r="A72" s="5" t="s">
        <v>139</v>
      </c>
      <c r="B72" s="4" t="s">
        <v>140</v>
      </c>
      <c r="C72" s="5" t="s">
        <v>80</v>
      </c>
      <c r="D72" s="7">
        <v>120</v>
      </c>
      <c r="E72" s="6">
        <v>65</v>
      </c>
      <c r="F72" s="6">
        <f>D72*E72</f>
        <v>7800</v>
      </c>
    </row>
    <row r="73">
      <c r="A73" s="10"/>
      <c r="B73" s="10" t="s">
        <v>141</v>
      </c>
      <c r="C73" s="10"/>
      <c r="D73" s="10"/>
      <c r="E73" s="10"/>
      <c r="F73" s="9">
        <f>SUM(F70:F72)</f>
        <v>41800</v>
      </c>
    </row>
    <row r="74"/>
    <row r="75">
      <c r="A75" s="10"/>
      <c r="B75" s="10" t="s">
        <v>142</v>
      </c>
      <c r="C75" s="10"/>
      <c r="D75" s="10"/>
      <c r="E75" s="10"/>
      <c r="F75" s="9">
        <f>F11+F20+F25+F31+F37+F44+F49+F60+F68+F73</f>
        <v>1058260</v>
      </c>
    </row>
    <row r="76">
      <c r="A76" s="10"/>
      <c r="B76" s="10" t="s">
        <v>143</v>
      </c>
      <c r="C76" s="10"/>
      <c r="D76" s="10"/>
      <c r="E76" s="10"/>
      <c r="F76" s="9">
        <f>F75*15%</f>
        <v>158739</v>
      </c>
    </row>
    <row r="77">
      <c r="A77" s="10"/>
      <c r="B77" s="10" t="s">
        <v>144</v>
      </c>
      <c r="C77" s="10"/>
      <c r="D77" s="10"/>
      <c r="E77" s="10"/>
      <c r="F77" s="9">
        <f>F75+F76</f>
        <v>1216999</v>
      </c>
    </row>
    <row r="78"/>
    <row r="79">
      <c r="A79" s="11"/>
      <c r="B79" s="11" t="s">
        <v>145</v>
      </c>
    </row>
  </sheetData>
  <mergeCells count="3">
    <mergeCell ref="A1:F1"/>
    <mergeCell ref="A2:F2"/>
    <mergeCell ref="A3:F3"/>
  </mergeCells>
  <pageMargins left="0.5" right="0.5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2026-10-20T09:00:00Z</dcterms:created>
</cp:coreProperties>
</file>