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haredStrings.xml><?xml version="1.0" encoding="utf-8"?>
<sst xmlns="http://schemas.openxmlformats.org/spreadsheetml/2006/main">
  <si>
    <t xml:space="preserve">Item</t>
  </si>
  <si>
    <t xml:space="preserve">Description</t>
  </si>
  <si>
    <t xml:space="preserve">Unit</t>
  </si>
  <si>
    <t xml:space="preserve">Qty</t>
  </si>
  <si>
    <t xml:space="preserve">Rate</t>
  </si>
  <si>
    <t xml:space="preserve">Amount</t>
  </si>
  <si>
    <t xml:space="preserve">01-01-01</t>
  </si>
  <si>
    <t xml:space="preserve">Site set-up and site offices</t>
  </si>
  <si>
    <t xml:space="preserve">LS</t>
  </si>
  <si>
    <t xml:space="preserve">01-02-01</t>
  </si>
  <si>
    <t xml:space="preserve">Insurances and bonds</t>
  </si>
  <si>
    <t xml:space="preserve">02-01-01</t>
  </si>
  <si>
    <t xml:space="preserve">Bulk excavation to formation level</t>
  </si>
  <si>
    <t xml:space="preserve">m3</t>
  </si>
  <si>
    <t xml:space="preserve">02-02-01</t>
  </si>
  <si>
    <t xml:space="preserve">Backfill and compaction in layers</t>
  </si>
  <si>
    <t xml:space="preserve">02-03-01</t>
  </si>
  <si>
    <t xml:space="preserve">Disposal of surplus material</t>
  </si>
  <si>
    <t xml:space="preserve">03-01-01</t>
  </si>
  <si>
    <t xml:space="preserve">Blinding concrete</t>
  </si>
  <si>
    <t xml:space="preserve">03-02-01</t>
  </si>
  <si>
    <t xml:space="preserve">RC footings and tie beams</t>
  </si>
  <si>
    <t xml:space="preserve">03-03-01</t>
  </si>
  <si>
    <t xml:space="preserve">RC columns and beams</t>
  </si>
  <si>
    <t xml:space="preserve">03-04-01</t>
  </si>
  <si>
    <t xml:space="preserve">Supply and fix reinforcement</t>
  </si>
  <si>
    <t xml:space="preserve">ton</t>
  </si>
  <si>
    <t xml:space="preserve">04-01-01</t>
  </si>
  <si>
    <t xml:space="preserve">Hollow block 200mm</t>
  </si>
  <si>
    <t xml:space="preserve">m2</t>
  </si>
  <si>
    <t xml:space="preserve">04-02-01</t>
  </si>
  <si>
    <t xml:space="preserve">Internal plaster</t>
  </si>
  <si>
    <t xml:space="preserve">04-03-01</t>
  </si>
  <si>
    <t xml:space="preserve">External render</t>
  </si>
  <si>
    <t xml:space="preserve">09-01-01</t>
  </si>
  <si>
    <t xml:space="preserve">Porcelain floor tiles</t>
  </si>
  <si>
    <t xml:space="preserve">09-02-01</t>
  </si>
  <si>
    <t xml:space="preserve">Internal paint</t>
  </si>
  <si>
    <t xml:space="preserve">09-03-01</t>
  </si>
  <si>
    <t xml:space="preserve">Suspended gypsum ceilings</t>
  </si>
  <si>
    <t xml:space="preserve">09-04-01</t>
  </si>
  <si>
    <t xml:space="preserve">Marble skirting</t>
  </si>
  <si>
    <t xml:space="preserve">lm</t>
  </si>
  <si>
    <t xml:space="preserve">15-01-01</t>
  </si>
  <si>
    <t xml:space="preserve">Plumbing points</t>
  </si>
  <si>
    <t xml:space="preserve">pt</t>
  </si>
  <si>
    <t xml:space="preserve">15-02-01</t>
  </si>
  <si>
    <t xml:space="preserve">Fire fighting and sprinklers</t>
  </si>
  <si>
    <t xml:space="preserve">15-03-01</t>
  </si>
  <si>
    <t xml:space="preserve">Split AC units</t>
  </si>
  <si>
    <t xml:space="preserve">no</t>
  </si>
  <si>
    <t xml:space="preserve">16-01-01</t>
  </si>
  <si>
    <t xml:space="preserve">Lighting and power points</t>
  </si>
  <si>
    <t xml:space="preserve">16-02-01</t>
  </si>
  <si>
    <t xml:space="preserve">Main and sub distribution boards</t>
  </si>
  <si>
    <t xml:space="preserve">16-03-01</t>
  </si>
  <si>
    <t xml:space="preserve">Main feeder cables</t>
  </si>
  <si>
    <t xml:space="preserve">Grand Total</t>
  </si>
</sst>
</file>

<file path=xl/styles.xml><?xml version="1.0" encoding="utf-8"?>
<styleSheet xmlns="http://schemas.openxmlformats.org/spreadsheetml/2006/main">
  <fonts count="2">
    <font/>
    <font>
      <b/>
    </font>
  </fonts>
  <cellXfs count="2">
    <xf fontId="0"/>
    <xf fontId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>
        <v>1</v>
      </c>
      <c r="E2">
        <v>85000</v>
      </c>
      <c r="F2">
        <f>D2*E2</f>
      </c>
    </row>
    <row r="3">
      <c r="A3" t="s">
        <v>9</v>
      </c>
      <c r="B3" t="s">
        <v>10</v>
      </c>
      <c r="C3" t="s">
        <v>8</v>
      </c>
      <c r="D3">
        <v>1</v>
      </c>
      <c r="E3">
        <v>42000</v>
      </c>
      <c r="F3">
        <f>D3*E3</f>
      </c>
    </row>
    <row r="4">
      <c r="A4" t="s">
        <v>11</v>
      </c>
      <c r="B4" t="s">
        <v>12</v>
      </c>
      <c r="C4" t="s">
        <v>13</v>
      </c>
      <c r="D4">
        <v>18400</v>
      </c>
      <c r="E4">
        <v>24</v>
      </c>
      <c r="F4">
        <f>D4*E4</f>
      </c>
    </row>
    <row r="5">
      <c r="A5" t="s">
        <v>14</v>
      </c>
      <c r="B5" t="s">
        <v>15</v>
      </c>
      <c r="C5" t="s">
        <v>13</v>
      </c>
      <c r="D5">
        <v>9200</v>
      </c>
      <c r="E5">
        <v>31.5</v>
      </c>
      <c r="F5">
        <f>D5*E5</f>
      </c>
    </row>
    <row r="6">
      <c r="A6" t="s">
        <v>16</v>
      </c>
      <c r="B6" t="s">
        <v>17</v>
      </c>
      <c r="C6" t="s">
        <v>13</v>
      </c>
      <c r="D6">
        <v>6100</v>
      </c>
      <c r="E6">
        <v>12.75</v>
      </c>
      <c r="F6">
        <f>D6*E6</f>
      </c>
    </row>
    <row r="7">
      <c r="A7" t="s">
        <v>18</v>
      </c>
      <c r="B7" t="s">
        <v>19</v>
      </c>
      <c r="C7" t="s">
        <v>13</v>
      </c>
      <c r="D7">
        <v>240</v>
      </c>
      <c r="E7">
        <v>290</v>
      </c>
      <c r="F7">
        <f>D7*E7</f>
      </c>
    </row>
    <row r="8">
      <c r="A8" t="s">
        <v>20</v>
      </c>
      <c r="B8" t="s">
        <v>21</v>
      </c>
      <c r="C8" t="s">
        <v>13</v>
      </c>
      <c r="D8">
        <v>1680</v>
      </c>
      <c r="E8">
        <v>745</v>
      </c>
      <c r="F8">
        <f>D8*E8</f>
      </c>
    </row>
    <row r="9">
      <c r="A9" t="s">
        <v>22</v>
      </c>
      <c r="B9" t="s">
        <v>23</v>
      </c>
      <c r="C9" t="s">
        <v>13</v>
      </c>
      <c r="D9">
        <v>1950</v>
      </c>
      <c r="E9">
        <v>825</v>
      </c>
      <c r="F9">
        <f>D9*E9</f>
      </c>
    </row>
    <row r="10">
      <c r="A10" t="s">
        <v>24</v>
      </c>
      <c r="B10" t="s">
        <v>25</v>
      </c>
      <c r="C10" t="s">
        <v>26</v>
      </c>
      <c r="D10">
        <v>980</v>
      </c>
      <c r="E10">
        <v>4165</v>
      </c>
      <c r="F10">
        <f>D10*E10</f>
      </c>
    </row>
    <row r="11">
      <c r="A11" t="s">
        <v>27</v>
      </c>
      <c r="B11" t="s">
        <v>28</v>
      </c>
      <c r="C11" t="s">
        <v>29</v>
      </c>
      <c r="D11">
        <v>14200</v>
      </c>
      <c r="E11">
        <v>80</v>
      </c>
      <c r="F11">
        <f>D11*E11</f>
      </c>
    </row>
    <row r="12">
      <c r="A12" t="s">
        <v>30</v>
      </c>
      <c r="B12" t="s">
        <v>31</v>
      </c>
      <c r="C12" t="s">
        <v>29</v>
      </c>
      <c r="D12">
        <v>26800</v>
      </c>
      <c r="E12">
        <v>28.5</v>
      </c>
      <c r="F12">
        <f>D12*E12</f>
      </c>
    </row>
    <row r="13">
      <c r="A13" t="s">
        <v>32</v>
      </c>
      <c r="B13" t="s">
        <v>33</v>
      </c>
      <c r="C13" t="s">
        <v>29</v>
      </c>
      <c r="D13">
        <v>9100</v>
      </c>
      <c r="E13">
        <v>36</v>
      </c>
      <c r="F13">
        <f>D13*E13</f>
      </c>
    </row>
    <row r="14">
      <c r="A14" t="s">
        <v>34</v>
      </c>
      <c r="B14" t="s">
        <v>35</v>
      </c>
      <c r="C14" t="s">
        <v>29</v>
      </c>
      <c r="D14">
        <v>7400</v>
      </c>
      <c r="E14">
        <v>118</v>
      </c>
      <c r="F14">
        <f>D14*E14</f>
      </c>
    </row>
    <row r="15">
      <c r="A15" t="s">
        <v>36</v>
      </c>
      <c r="B15" t="s">
        <v>37</v>
      </c>
      <c r="C15" t="s">
        <v>29</v>
      </c>
      <c r="D15">
        <v>26800</v>
      </c>
      <c r="E15">
        <v>22</v>
      </c>
      <c r="F15">
        <f>D15*E15</f>
      </c>
    </row>
    <row r="16">
      <c r="A16" t="s">
        <v>38</v>
      </c>
      <c r="B16" t="s">
        <v>39</v>
      </c>
      <c r="C16" t="s">
        <v>29</v>
      </c>
      <c r="D16">
        <v>5200</v>
      </c>
      <c r="E16">
        <v>96</v>
      </c>
      <c r="F16">
        <f>D16*E16</f>
      </c>
    </row>
    <row r="17">
      <c r="A17" t="s">
        <v>40</v>
      </c>
      <c r="B17" t="s">
        <v>41</v>
      </c>
      <c r="C17" t="s">
        <v>42</v>
      </c>
      <c r="D17">
        <v>3100</v>
      </c>
      <c r="E17">
        <v>45</v>
      </c>
      <c r="F17">
        <f>D17*E17</f>
      </c>
    </row>
    <row r="18">
      <c r="A18" t="s">
        <v>43</v>
      </c>
      <c r="B18" t="s">
        <v>44</v>
      </c>
      <c r="C18" t="s">
        <v>45</v>
      </c>
      <c r="D18">
        <v>320</v>
      </c>
      <c r="E18">
        <v>1250.5</v>
      </c>
      <c r="F18">
        <f>D18*E18</f>
      </c>
    </row>
    <row r="19">
      <c r="A19" t="s">
        <v>46</v>
      </c>
      <c r="B19" t="s">
        <v>47</v>
      </c>
      <c r="C19" t="s">
        <v>8</v>
      </c>
      <c r="D19">
        <v>1</v>
      </c>
      <c r="E19">
        <v>485000</v>
      </c>
      <c r="F19">
        <f>D19*E19</f>
      </c>
    </row>
    <row r="20">
      <c r="A20" t="s">
        <v>48</v>
      </c>
      <c r="B20" t="s">
        <v>49</v>
      </c>
      <c r="C20" t="s">
        <v>50</v>
      </c>
      <c r="D20">
        <v>60</v>
      </c>
      <c r="E20">
        <v>3850</v>
      </c>
      <c r="F20">
        <f>D20*E20</f>
      </c>
    </row>
    <row r="21">
      <c r="A21" t="s">
        <v>51</v>
      </c>
      <c r="B21" t="s">
        <v>52</v>
      </c>
      <c r="C21" t="s">
        <v>45</v>
      </c>
      <c r="D21">
        <v>1450</v>
      </c>
      <c r="E21">
        <v>185</v>
      </c>
      <c r="F21">
        <f>D21*E21</f>
      </c>
    </row>
    <row r="22">
      <c r="A22" t="s">
        <v>53</v>
      </c>
      <c r="B22" t="s">
        <v>54</v>
      </c>
      <c r="C22" t="s">
        <v>50</v>
      </c>
      <c r="D22">
        <v>14</v>
      </c>
      <c r="E22">
        <v>6800</v>
      </c>
      <c r="F22">
        <f>D22*E22</f>
      </c>
    </row>
    <row r="23">
      <c r="A23" t="s">
        <v>55</v>
      </c>
      <c r="B23" t="s">
        <v>56</v>
      </c>
      <c r="C23" t="s">
        <v>42</v>
      </c>
      <c r="D23">
        <v>820</v>
      </c>
      <c r="E23">
        <v>142</v>
      </c>
      <c r="F23">
        <f>D23*E23</f>
      </c>
    </row>
    <row r="24">
      <c r="B24" t="s">
        <v>57</v>
      </c>
      <c r="F24">
        <f>SUM(F2:F23)</f>
      </c>
    </row>
  </sheetData>
</worksheet>
</file>